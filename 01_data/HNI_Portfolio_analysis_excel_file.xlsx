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READ_ME" sheetId="1" r:id="rId5"/>
    <sheet state="visible" name="01_CLIENT_FILE" sheetId="2" r:id="rId6"/>
    <sheet state="visible" name="02_WEALTH_CONTEXT" sheetId="3" r:id="rId7"/>
    <sheet state="visible" name="03_THREE_GOALS" sheetId="4" r:id="rId8"/>
    <sheet state="visible" name="04_PORTFOLIO" sheetId="5" r:id="rId9"/>
    <sheet state="visible" name="05_VALIDATION" sheetId="6" r:id="rId10"/>
    <sheet state="visible" name="06_CONSTRUCTION" sheetId="7" r:id="rId11"/>
    <sheet state="visible" name="07_PERFORMANCE_RISK" sheetId="8" r:id="rId12"/>
    <sheet state="visible" name="08_RED_FLAGS" sheetId="9" r:id="rId13"/>
    <sheet state="visible" name="09_MARKET_DATA" sheetId="10" r:id="rId14"/>
    <sheet state="visible" name="10_GOAL_BENCHMARK" sheetId="11" r:id="rId15"/>
    <sheet state="visible" name="10A_RECOMMENDATION" sheetId="12" r:id="rId16"/>
    <sheet state="visible" name="11_CLIENT_MEETING" sheetId="13" r:id="rId17"/>
    <sheet state="visible" name="12_MONITORING" sheetId="14" r:id="rId18"/>
  </sheets>
  <definedNames>
    <definedName hidden="1" localSheetId="8" name="Z_7E84F6FE_1AF3_4B67_9E4F_D1CD7E5B52B3_.wvu.FilterData">'08_RED_FLAGS'!$A$6:$H$12</definedName>
    <definedName hidden="1" localSheetId="6" name="Z_89A4457C_7FCC_4EC4_A8BC_64F4AE23CBA2_.wvu.FilterData">'06_CONSTRUCTION'!$A$5:$D$10</definedName>
    <definedName hidden="1" localSheetId="7" name="Z_C4DF907B_B7CC_48D0_8726_9B4F2B9BC91B_.wvu.FilterData">'07_PERFORMANCE_RISK'!$A$44:$B$49</definedName>
    <definedName hidden="1" localSheetId="12" name="Z_D61903E5_92A6_43C7_AECB_1CB925AD396C_.wvu.FilterData">'11_CLIENT_MEETING'!$A$30:$B$37</definedName>
    <definedName hidden="1" localSheetId="13" name="Z_21FF5159_9939_4D0B_A96B_46C8497598AB_.wvu.FilterData">'12_MONITORING'!$A$24:$B$29</definedName>
    <definedName hidden="1" localSheetId="2" name="Z_A219C160_FAE7_4347_9BAA_A300448C4CAC_.wvu.FilterData">'02_WEALTH_CONTEXT'!$A$17:$B$21</definedName>
    <definedName hidden="1" localSheetId="3" name="Z_1AF9A3CA_8ADC_4AAF_9D1A_FFECE3A77F0B_.wvu.FilterData">'03_THREE_GOALS'!$A$38:$D$43</definedName>
    <definedName hidden="1" localSheetId="2" name="Z_E04DC412_221B_4061_8C21_2FC906791ECB_.wvu.FilterData">'02_WEALTH_CONTEXT'!$A$5:$C$13</definedName>
    <definedName hidden="1" localSheetId="1" name="Z_FB296A3D_4CBC_4895_B494_5BF5F7170D25_.wvu.FilterData">'01_CLIENT_FILE'!$A$22:$C$27</definedName>
    <definedName hidden="1" localSheetId="3" name="Z_908084E4_C0E4_4332_BEB5_80F3E2621A29_.wvu.FilterData">'03_THREE_GOALS'!$A$27:$B$35</definedName>
    <definedName hidden="1" localSheetId="12" name="Z_1DA5AD6E_2DF6_4ADE_B6DC_1245FBFAAD49_.wvu.FilterData">'11_CLIENT_MEETING'!$A$15:$B$18</definedName>
    <definedName hidden="1" localSheetId="5" name="Z_212B2DAE_0DC4_43A8_AEBB_CCAA57A82DF2_.wvu.FilterData">'05_VALIDATION'!$A$24:$C$30</definedName>
    <definedName hidden="1" localSheetId="13" name="Z_725AA48F_2C25_46EA_9C14_266B493F02E8_.wvu.FilterData">'12_MONITORING'!$A$4:$D$12</definedName>
    <definedName hidden="1" localSheetId="3" name="Z_E1D031F8_F20C_4829_BE12_F50AC7B29CA9_.wvu.FilterData">'03_THREE_GOALS'!$A$16:$B$24</definedName>
    <definedName hidden="1" localSheetId="2" name="Z_7ED8EAE1_4961_47C6_9638_FDC842B21054_.wvu.FilterData">'02_WEALTH_CONTEXT'!$A$24:$C$30</definedName>
    <definedName hidden="1" localSheetId="12" name="Z_2E4CC127_A856_472C_B3CD_789A05552639_.wvu.FilterData">'11_CLIENT_MEETING'!$A$5:$C$12</definedName>
    <definedName hidden="1" localSheetId="8" name="Z_E1F0FCAB_FCAD_4120_BA76_CB319C47652D_.wvu.FilterData">'08_RED_FLAGS'!$A$16:$B$22</definedName>
    <definedName hidden="1" localSheetId="12" name="Z_7266A841_F7B9_4175_95CB_6B2178817E7A_.wvu.FilterData">'11_CLIENT_MEETING'!$A$22:$B$26</definedName>
    <definedName hidden="1" localSheetId="0" name="Z_64D3D499_93F8_442C_A738_E821857A69F7_.wvu.FilterData">'00_READ_ME'!$A$11:$C$23</definedName>
    <definedName hidden="1" localSheetId="3" name="Z_B1F947FE_67FA_40FB_8972_A310C69501E5_.wvu.FilterData">'03_THREE_GOALS'!$A$5:$B$13</definedName>
    <definedName hidden="1" localSheetId="13" name="Z_5EB543B0_7500_4A35_8AD5_74EE55E463B4_.wvu.FilterData">'12_MONITORING'!$A$15:$D$20</definedName>
    <definedName hidden="1" localSheetId="5" name="Z_F35E2C95_5F67_4324_8217_309E05F7012F_.wvu.FilterData">'05_VALIDATION'!$A$6:$G$13</definedName>
    <definedName hidden="1" localSheetId="8" name="Z_E609FAC9_EA3F_4F43_8317_9B65214CC9F0_.wvu.FilterData">'08_RED_FLAGS'!$A$25:$B$28</definedName>
    <definedName hidden="1" localSheetId="7" name="Z_CC54928B_FB29_455E_A06A_20645953D6B9_.wvu.FilterData">'07_PERFORMANCE_RISK'!$A$36:$E$40</definedName>
    <definedName hidden="1" localSheetId="7" name="Z_37152FC0_050B_4CCD_91C3_417B6AC11E2F_.wvu.FilterData">'07_PERFORMANCE_RISK'!$A$5:$G$26</definedName>
    <definedName hidden="1" localSheetId="4" name="Z_C67D9B9C_0676_40D1_B115_CB0449118494_.wvu.FilterData">'04_PORTFOLIO'!$A$31:$B$36</definedName>
    <definedName hidden="1" localSheetId="5" name="Z_F1947687_58F3_4849_8BD2_761014E1CBF1_.wvu.FilterData">'05_VALIDATION'!$A$16:$B$21</definedName>
    <definedName hidden="1" localSheetId="1" name="Z_FA2D2F8A_D0F8_4B65_AC68_98BA8B81F3AE_.wvu.FilterData">'01_CLIENT_FILE'!$A$5:$B$11</definedName>
    <definedName hidden="1" localSheetId="1" name="Z_554E0FB1_5931_403C_8D02_530E6D037CE7_.wvu.FilterData">'01_CLIENT_FILE'!$A$14:$B$19</definedName>
    <definedName hidden="1" localSheetId="4" name="Z_2E20C8BE_1D6E_4820_B309_39DC5B878863_.wvu.FilterData">'04_PORTFOLIO'!$A$6:$L$27</definedName>
  </definedNames>
  <calcPr/>
  <customWorkbookViews>
    <customWorkbookView activeSheetId="0" maximized="1" windowHeight="0" windowWidth="0" guid="{7E84F6FE-1AF3-4B67-9E4F-D1CD7E5B52B3}" name="RedFlags filter view"/>
    <customWorkbookView activeSheetId="0" maximized="1" windowHeight="0" windowWidth="0" guid="{89A4457C-7FCC-4EC4-A8BC-64F4AE23CBA2}" name="AssetAllocation filter view"/>
    <customWorkbookView activeSheetId="0" maximized="1" windowHeight="0" windowWidth="0" guid="{C4DF907B-B7CC-48D0-8726-9B4F2B9BC91B}" name="RiskInsights filter view"/>
    <customWorkbookView activeSheetId="0" maximized="1" windowHeight="0" windowWidth="0" guid="{D61903E5-92A6-43C7-AECB-1CB925AD396C}" name="Conversion filter view"/>
    <customWorkbookView activeSheetId="0" maximized="1" windowHeight="0" windowWidth="0" guid="{21FF5159-9939-4D0B-A96B-46C8497598AB}" name="MonitoringEvents filter view"/>
    <customWorkbookView activeSheetId="0" maximized="1" windowHeight="0" windowWidth="0" guid="{A219C160-FAE7-4347-9BAA-A300448C4CAC}" name="WealthInsights filter view"/>
    <customWorkbookView activeSheetId="0" maximized="1" windowHeight="0" windowWidth="0" guid="{1AF9A3CA-8ADC-4AAF-9D1A-FFECE3A77F0B}" name="GoalCompare filter view"/>
    <customWorkbookView activeSheetId="0" maximized="1" windowHeight="0" windowWidth="0" guid="{E04DC412-221B-4061-8C21-2FC906791ECB}" name="WealthContext filter view"/>
    <customWorkbookView activeSheetId="0" maximized="1" windowHeight="0" windowWidth="0" guid="{FB296A3D-4CBC-4895-B494-5BF5F7170D25}" name="IntakeChecklist filter view"/>
    <customWorkbookView activeSheetId="0" maximized="1" windowHeight="0" windowWidth="0" guid="{908084E4-C0E4-4332-BEB5-80F3E2621A29}" name="Goal3 filter view"/>
    <customWorkbookView activeSheetId="0" maximized="1" windowHeight="0" windowWidth="0" guid="{1DA5AD6E-2DF6-4ADE-B6DC-1245FBFAAD49}" name="ClientScripts filter view"/>
    <customWorkbookView activeSheetId="0" maximized="1" windowHeight="0" windowWidth="0" guid="{212B2DAE-0DC4-43A8-AEBB-CCAA57A82DF2}" name="ValidationRequests filter view"/>
    <customWorkbookView activeSheetId="0" maximized="1" windowHeight="0" windowWidth="0" guid="{725AA48F-2C25-46EA-9C14-266B493F02E8}" name="Monitoring filter view"/>
    <customWorkbookView activeSheetId="0" maximized="1" windowHeight="0" windowWidth="0" guid="{E1D031F8-F20C-4829-BE12-F50AC7B29CA9}" name="Goal2 filter view"/>
    <customWorkbookView activeSheetId="0" maximized="1" windowHeight="0" windowWidth="0" guid="{7ED8EAE1-4961-47C6-9638-FDC842B21054}" name="DataRequests filter view"/>
    <customWorkbookView activeSheetId="0" maximized="1" windowHeight="0" windowWidth="0" guid="{2E4CC127-A856-472C-B3CD-789A05552639}" name="MeetingFlow filter view"/>
    <customWorkbookView activeSheetId="0" maximized="1" windowHeight="0" windowWidth="0" guid="{E1F0FCAB-FCAD-4120-BA76-CB319C47652D}" name="RedFlagMethod filter view"/>
    <customWorkbookView activeSheetId="0" maximized="1" windowHeight="0" windowWidth="0" guid="{7266A841-F7B9-4175-95CB-6B2178817E7A}" name="Objections filter view"/>
    <customWorkbookView activeSheetId="0" maximized="1" windowHeight="0" windowWidth="0" guid="{64D3D499-93F8-442C-A738-E821857A69F7}" name="StoryMap filter view"/>
    <customWorkbookView activeSheetId="0" maximized="1" windowHeight="0" windowWidth="0" guid="{B1F947FE-67FA-40FB-8972-A310C69501E5}" name="Goal1 filter view"/>
    <customWorkbookView activeSheetId="0" maximized="1" windowHeight="0" windowWidth="0" guid="{5EB543B0-7500-4A35-8AD5-74EE55E463B4}" name="MonthlyReview filter view"/>
    <customWorkbookView activeSheetId="0" maximized="1" windowHeight="0" windowWidth="0" guid="{F35E2C95-5F67-4324-8217-309E05F7012F}" name="ValidationLog filter view"/>
    <customWorkbookView activeSheetId="0" maximized="1" windowHeight="0" windowWidth="0" guid="{E609FAC9-EA3F-4F43-8317-9B65214CC9F0}" name="TopFlags filter view"/>
    <customWorkbookView activeSheetId="0" maximized="1" windowHeight="0" windowWidth="0" guid="{CC54928B-FB29-455E-A06A-20645953D6B9}" name="StressTests filter view"/>
    <customWorkbookView activeSheetId="0" maximized="1" windowHeight="0" windowWidth="0" guid="{37152FC0-050B-4CCD-91C3-417B6AC11E2F}" name="PerfContrib filter view"/>
    <customWorkbookView activeSheetId="0" maximized="1" windowHeight="0" windowWidth="0" guid="{C67D9B9C-0676-40D1-B115-CB0449118494}" name="InventoryRead filter view"/>
    <customWorkbookView activeSheetId="0" maximized="1" windowHeight="0" windowWidth="0" guid="{F1947687-58F3-4849-8BD2-761014E1CBF1}" name="ValidationStory filter view"/>
    <customWorkbookView activeSheetId="0" maximized="1" windowHeight="0" windowWidth="0" guid="{FA2D2F8A-D0F8-4B65-AC68-98BA8B81F3AE}" name="ClientSnapshot filter view"/>
    <customWorkbookView activeSheetId="0" maximized="1" windowHeight="0" windowWidth="0" guid="{554E0FB1-5931-403C-8D02-530E6D037CE7}" name="InboundBrief filter view"/>
    <customWorkbookView activeSheetId="0" maximized="1" windowHeight="0" windowWidth="0" guid="{2E20C8BE-1D6E-4820-B309-39DC5B878863}" name="Holdings filter view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Synthetic training inputs. Replace with approved client/market data for any real advisory use.</t>
      </text>
    </comment>
  </commentList>
</comments>
</file>

<file path=xl/sharedStrings.xml><?xml version="1.0" encoding="utf-8"?>
<sst xmlns="http://schemas.openxmlformats.org/spreadsheetml/2006/main" count="1850" uniqueCount="1187">
  <si>
    <t>STEP 0  |  CASE MAP &amp; DATA DISCLOSURE</t>
  </si>
  <si>
    <t>STEP 1  |  CLIENT FILE &amp; INTAKE</t>
  </si>
  <si>
    <t>STEP 3  |  THREE CLIENT GOALS</t>
  </si>
  <si>
    <t>STEP 2  |  WEALTH CONTEXT</t>
  </si>
  <si>
    <t>Portfolio label inspired by a publicly shared portfolio; all values in this workbook are synthetic and created for this case.</t>
  </si>
  <si>
    <t>Instead of inventing one goal for a public figure, test the same ₹3.57 crore portfolio against three HNI possible goals.</t>
  </si>
  <si>
    <t>intake → portfolio → goals → validation → diagnosis → recommendation → conversation.</t>
  </si>
  <si>
    <t>CASE DATE CONTROL: Portfolio valuation date = 30 June 2025. Portfolio figures are synthetic case inputs; all external market benchmark data is real and date-stamped.</t>
  </si>
  <si>
    <t xml:space="preserve">                            GOAL 1 — LONG-TERM WEALTH COMPOUNDING</t>
  </si>
  <si>
    <t xml:space="preserve">                           CLIENT SNAPSHOT</t>
  </si>
  <si>
    <t>All client facts below are synthetic assumptions created for the case. In a real meeting, these would be confirmed from the client and supporting documents.</t>
  </si>
  <si>
    <t xml:space="preserve">                   1. WHAT THIS PROJECT IS TRYING TO PROVE</t>
  </si>
  <si>
    <t>Dimension</t>
  </si>
  <si>
    <t>The skill being demonstrated</t>
  </si>
  <si>
    <t>Field</t>
  </si>
  <si>
    <t>understand the client's context , validate information, identify material risks, connect those risks to goals, benchmark the portfolio, and turn the findings into a client-ready recommendation.</t>
  </si>
  <si>
    <t>Role alignment</t>
  </si>
  <si>
    <t xml:space="preserve">                                   ILLUSTRATIVE FINANCIAL SITUATION</t>
  </si>
  <si>
    <t>Dezerv Management Trainee – Client Financial Partner JD: client portfolio review, financial-information validation, asset allocation / financial needs, explaining investment methodology simply, and moving the client toward a suitable solution and follow-up.</t>
  </si>
  <si>
    <t>Working rule</t>
  </si>
  <si>
    <t>Every sheet answers four questions: WHAT did we learn? SO WHAT does it mean? WHY does it matter to the client? WHAT happens next?</t>
  </si>
  <si>
    <t xml:space="preserve">                        2. THE STORYLINE</t>
  </si>
  <si>
    <t>Analysis / required action</t>
  </si>
  <si>
    <t>Working value</t>
  </si>
  <si>
    <t>Step</t>
  </si>
  <si>
    <t>Goal</t>
  </si>
  <si>
    <t>Client / case name</t>
  </si>
  <si>
    <t>Factor</t>
  </si>
  <si>
    <t>Sheet</t>
  </si>
  <si>
    <t>Grow ₹3.57 crore into a materially larger real-wealth corpus over 10–15 years.</t>
  </si>
  <si>
    <t>Working assumption</t>
  </si>
  <si>
    <t>Question it answers</t>
  </si>
  <si>
    <t>Akshat Srivastava – public portfolio case</t>
  </si>
  <si>
    <t>Time horizon</t>
  </si>
  <si>
    <t>01</t>
  </si>
  <si>
    <t>10–15 years</t>
  </si>
  <si>
    <t>Meeting type</t>
  </si>
  <si>
    <t>Why it matters</t>
  </si>
  <si>
    <t>Client file</t>
  </si>
  <si>
    <t>Inbound HNI portfolio review</t>
  </si>
  <si>
    <t>Who is this person and what are we being asked to solve?</t>
  </si>
  <si>
    <t>Liquidity need</t>
  </si>
  <si>
    <t>02</t>
  </si>
  <si>
    <t>Investible assets in scope</t>
  </si>
  <si>
    <t>Low in first 5 years; emergency reserve held separately</t>
  </si>
  <si>
    <t>Wealth context</t>
  </si>
  <si>
    <t>Age</t>
  </si>
  <si>
    <t>How large is the investible pool and what constraints might matter?</t>
  </si>
  <si>
    <t>₹3.57 crore</t>
  </si>
  <si>
    <t>Risk posture</t>
  </si>
  <si>
    <t>03</t>
  </si>
  <si>
    <t>46</t>
  </si>
  <si>
    <t>Valuation / case date</t>
  </si>
  <si>
    <t>High capacity; moderate-to-high tolerance</t>
  </si>
  <si>
    <t>Three goals</t>
  </si>
  <si>
    <t>How does the analysis change if the client is a wealth creator, pre-retiree, or capital-preservation client?</t>
  </si>
  <si>
    <t>30-Jun-2025</t>
  </si>
  <si>
    <t>Synthetic case assumption</t>
  </si>
  <si>
    <t>Primary job of portfolio</t>
  </si>
  <si>
    <t>04</t>
  </si>
  <si>
    <t>Portfolio inventory</t>
  </si>
  <si>
    <t>Maximise long-term compounding without taking avoidable concentration risk</t>
  </si>
  <si>
    <t>Portfolio source</t>
  </si>
  <si>
    <t>What exactly does the client own?</t>
  </si>
  <si>
    <t>Occupation / income</t>
  </si>
  <si>
    <t>05</t>
  </si>
  <si>
    <t>Public source: Akshat Shrivastava's 27-Apr-2025 YouTube video on his $1M public US-stock portfolio; portfolio numbers here are a synthetic reconstruction for training.</t>
  </si>
  <si>
    <t>What needs to happen</t>
  </si>
  <si>
    <t>Validation</t>
  </si>
  <si>
    <t>Business owner; ₹55 lakh annual household income</t>
  </si>
  <si>
    <t>Maintain meaningful growth exposure, diversify sources of return, cap single-theme risk, and keep enough stabilising assets to fund opportunistic rebalancing.</t>
  </si>
  <si>
    <t>Can we trust the inputs before making a recommendation?</t>
  </si>
  <si>
    <t>06</t>
  </si>
  <si>
    <t>Portfolio construction</t>
  </si>
  <si>
    <t>What is the portfolio actually made of after grouping it properly?</t>
  </si>
  <si>
    <t>Total investible financial assets</t>
  </si>
  <si>
    <t>07</t>
  </si>
  <si>
    <t>Performance &amp; risk</t>
  </si>
  <si>
    <t>What did it earn, and what risks were taken to earn it?</t>
  </si>
  <si>
    <t>Portfolio implication</t>
  </si>
  <si>
    <t>08</t>
  </si>
  <si>
    <t>Scope of this case</t>
  </si>
  <si>
    <t>The current portfolio can tolerate equity risk, but its semiconductor/US growth/crypto cluster needs to be treated as one risk bucket rather than many separate holdings.</t>
  </si>
  <si>
    <t>Red flags</t>
  </si>
  <si>
    <t>Where are the highest-impact mismatches and how did we find them?</t>
  </si>
  <si>
    <t>Advisor objective</t>
  </si>
  <si>
    <t>Next analytical step</t>
  </si>
  <si>
    <t>Other major wealth</t>
  </si>
  <si>
    <t>09</t>
  </si>
  <si>
    <t>Diagnose the existing portfolio, connect it to client goals, explain the gaps simply, and translate the findings into an actionable Dezerv-style advisory conversation.</t>
  </si>
  <si>
    <t>Benchmarking</t>
  </si>
  <si>
    <t>Exposure mapping and risk concentration become especially important.</t>
  </si>
  <si>
    <t>How does the portfolio compare with appropriate reference points?</t>
  </si>
  <si>
    <t>₹2.20 crore business interest + ₹1.10 crore residential property</t>
  </si>
  <si>
    <t>10</t>
  </si>
  <si>
    <t xml:space="preserve">                          INBOUND CLIENT BRIEF</t>
  </si>
  <si>
    <t xml:space="preserve">                                           GOAL 2 — RETIREMENT / FINANCIAL INDEPENDENCE</t>
  </si>
  <si>
    <t>Not analysed in portfolio return calculations</t>
  </si>
  <si>
    <t>Recommendation</t>
  </si>
  <si>
    <t>What would we keep, reduce, exit, replace or add—and why?</t>
  </si>
  <si>
    <t>11</t>
  </si>
  <si>
    <t>Liabilities</t>
  </si>
  <si>
    <t>Question</t>
  </si>
  <si>
    <t>Client conversation</t>
  </si>
  <si>
    <t>How do we explain the findings without sounding like a spreadsheet?</t>
  </si>
  <si>
    <t>₹34.60 lakh home loan outstanding</t>
  </si>
  <si>
    <t>Working answer / analysis</t>
  </si>
  <si>
    <t>12</t>
  </si>
  <si>
    <t>Follow-up &amp; monitoring</t>
  </si>
  <si>
    <t>Near-term liquidity reserve outside portfolio</t>
  </si>
  <si>
    <t>How does the relationship continue after the meeting?</t>
  </si>
  <si>
    <t>₹8 lakh</t>
  </si>
  <si>
    <t>Convert a ₹3.57 crore corpus into a retirement-ready portfolio with lower dependence on selling risk assets during a downturn.</t>
  </si>
  <si>
    <t>Why they came to us</t>
  </si>
  <si>
    <t>PUBLIC-SOURCE DISCLOSURE — AKSHAT SRIVASTAVA CASE</t>
  </si>
  <si>
    <t>Needs verification</t>
  </si>
  <si>
    <t>Public source used</t>
  </si>
  <si>
    <t>Akshat Shrivastava — “Your portfolio can beat 99% Fund Managers | Copy these 5 Strategies”</t>
  </si>
  <si>
    <t>7–10 years to major withdrawals</t>
  </si>
  <si>
    <t>YouTube link</t>
  </si>
  <si>
    <t>Expected large cash need</t>
  </si>
  <si>
    <t>https://www.youtube.com/watch?v=rEC15tWo_oU</t>
  </si>
  <si>
    <t>Wants an independent view of whether the current portfolio is sufficiently diversified and whether it is doing the right job for long-term wealth.</t>
  </si>
  <si>
    <t>₹35.40 lakh within 3–4 years</t>
  </si>
  <si>
    <t>Medium; withdrawals begin in the goal window</t>
  </si>
  <si>
    <t>What we know</t>
  </si>
  <si>
    <t>Portfolio contains Indian equities, US equities/ETFs, commodities, crypto, debt and cash-like assets.</t>
  </si>
  <si>
    <t>Investment horizon</t>
  </si>
  <si>
    <t>Moderate</t>
  </si>
  <si>
    <t>What we do NOT know from the public source</t>
  </si>
  <si>
    <t>What is source-derived</t>
  </si>
  <si>
    <t>The public portfolio challenge, stated intent to build  public US-stock portfolio, publicly audit it, and investment-process observations used to frame this case.</t>
  </si>
  <si>
    <t>What is synthetic</t>
  </si>
  <si>
    <t>10+ years for core wealth</t>
  </si>
  <si>
    <t>The ₹3.57 crore case value, quantities, prices and missing holding-level inputs are synthetic. Client age, income, liabilities, family circumstances, goals and suitability facts are also synthetic case assumptions.</t>
  </si>
  <si>
    <t>Exact private liabilities, complete household balance sheet, tax position, emergency reserve, complete cash-flow schedule and a verified suitability mandate. These are therefore established as synthetic case inputs.</t>
  </si>
  <si>
    <t>Grow the corpus while progressively protecting near-term spending buckets</t>
  </si>
  <si>
    <t>Immediate implication</t>
  </si>
  <si>
    <t>Do not call the portfolio “good” or “bad” yet. We can diagnose the portfolio, but suitability depends on the missing client context.</t>
  </si>
  <si>
    <t xml:space="preserve">                                          WHAT CHANGED AFTER PUTTING THE PORTFOLIO INTO CONTEXT?</t>
  </si>
  <si>
    <t>Create a liability-matching / bucket structure, reduce avoidable concentration, and establish a rising allocation to high-quality liquid assets as the retirement date approaches.</t>
  </si>
  <si>
    <t>Next action</t>
  </si>
  <si>
    <t>Move to the wealth-context sheet and establish the size, liquidity and decision constraints before interpreting portfolio risk.</t>
  </si>
  <si>
    <t>The current crypto + semiconductor + small-cap exposure would be more difficult to justify at the same size if withdrawals were imminent.</t>
  </si>
  <si>
    <t xml:space="preserve">                                  THE ANALYST'S MENTAL CHECKLIST</t>
  </si>
  <si>
    <t>Observation</t>
  </si>
  <si>
    <t>Scenario analysis and drawdown impact become more important than headline CAGR.</t>
  </si>
  <si>
    <t>Analysis / consequence</t>
  </si>
  <si>
    <t>Order</t>
  </si>
  <si>
    <t xml:space="preserve">                                            GOAL 3 — CAPITAL PRESERVATION + LARGE FUTURE OUTLAY</t>
  </si>
  <si>
    <t>The ₹3 crore is not the client's entire wealth</t>
  </si>
  <si>
    <t>Answer</t>
  </si>
  <si>
    <t>The client has a meaningful business and property exposure. That raises a new question: is the investment portfolio being used to diversify the risks already embedded in the client's human capital and business?</t>
  </si>
  <si>
    <t>1</t>
  </si>
  <si>
    <t>What did the client give us?</t>
  </si>
  <si>
    <t>The ₹35 lakh near-term need matters</t>
  </si>
  <si>
    <t>A portfolio snapshot.</t>
  </si>
  <si>
    <t>A volatile portfolio can still be appropriate for long-term wealth, but money earmarked for a 3–4 year obligation should not be treated as permanently risk capital.</t>
  </si>
  <si>
    <t>2</t>
  </si>
  <si>
    <t>What does the client want?</t>
  </si>
  <si>
    <t>The business creates hidden concentration</t>
  </si>
  <si>
    <t>If the client's business is India-focused, cyclical or linked to a particular sector, adding more of the same economic exposure inside the portfolio can create concentration that the holdings table alone will miss.</t>
  </si>
  <si>
    <t>Not yet established — must be elicited.</t>
  </si>
  <si>
    <t>Protect a ₹35 lakh near-term obligation while preserving the rest of the corpus for long-term growth.</t>
  </si>
  <si>
    <t>Risk capacity is not the same as risk tolerance</t>
  </si>
  <si>
    <t>3</t>
  </si>
  <si>
    <t>What can we safely say now?</t>
  </si>
  <si>
    <t>The client may be financially capable of taking equity risk while still being uncomfortable with a large drawdown. We need the goals sheet to test different client mandates.</t>
  </si>
  <si>
    <t>3–4 years for the earmarked goal; 10+ years for residual wealth</t>
  </si>
  <si>
    <t>We can describe composition and observable concentration.</t>
  </si>
  <si>
    <t>4</t>
  </si>
  <si>
    <t xml:space="preserve">                                  DATA REQUESTS BEFORE A REAL RECOMMENDATION</t>
  </si>
  <si>
    <t>What cannot we safely say?</t>
  </si>
  <si>
    <t>That any allocation is suitable for the client.</t>
  </si>
  <si>
    <t>High for the goal bucket</t>
  </si>
  <si>
    <t>5</t>
  </si>
  <si>
    <t>Information</t>
  </si>
  <si>
    <t>What comes next?</t>
  </si>
  <si>
    <t>Establish wealth context, goals and constraints.</t>
  </si>
  <si>
    <t>What to collect</t>
  </si>
  <si>
    <t>Moderate / segmented</t>
  </si>
  <si>
    <t>Why it changes advice</t>
  </si>
  <si>
    <t>Income / cash flow</t>
  </si>
  <si>
    <t>Separate money that must be available from money that can take market risk.</t>
  </si>
  <si>
    <t>Last 12 months income and major expected changes</t>
  </si>
  <si>
    <t>Determines sustainable investment capacity</t>
  </si>
  <si>
    <t>Ring-fence the ₹35 lakh requirement using liquid / high-quality fixed-income assets; keep long-horizon capital invested for growth.</t>
  </si>
  <si>
    <t>Loan schedule and interest burden</t>
  </si>
  <si>
    <t>Determines liquidity and debt-service pressure</t>
  </si>
  <si>
    <t>The question is not whether the whole ₹3.57 crore should become conservative. It is whether the near-term liability is protected from equity/crypto drawdowns.</t>
  </si>
  <si>
    <t>Business exposure</t>
  </si>
  <si>
    <t>Nature of business, sector and revenue concentration</t>
  </si>
  <si>
    <t>Liquidity and downside stress tests should drive the recommendation.</t>
  </si>
  <si>
    <t>Determines hidden economic concentration</t>
  </si>
  <si>
    <t xml:space="preserve">                                             GOAL COMPARISON — SAME PORTFOLIO, DIFFERENT ANSWER</t>
  </si>
  <si>
    <t>Tax position</t>
  </si>
  <si>
    <t>Cost basis, holding period, tax slabs</t>
  </si>
  <si>
    <t>Decision lens</t>
  </si>
  <si>
    <t>Determines practical cost of rebalancing</t>
  </si>
  <si>
    <t>Goal 1</t>
  </si>
  <si>
    <t>Goal 2</t>
  </si>
  <si>
    <t>Family goals</t>
  </si>
  <si>
    <t>Goal 3</t>
  </si>
  <si>
    <t>Education, retirement, inheritance, philanthropy</t>
  </si>
  <si>
    <t>Primary concern</t>
  </si>
  <si>
    <t>Determines time buckets and target corpus</t>
  </si>
  <si>
    <t>Compounding efficiency</t>
  </si>
  <si>
    <t>Emergency reserve</t>
  </si>
  <si>
    <t>Sequence-of-returns risk</t>
  </si>
  <si>
    <t>Cash / liquid assets outside the portfolio</t>
  </si>
  <si>
    <t>Determines how much of the ₹3 crore can truly be risk capital</t>
  </si>
  <si>
    <t>Capital protection for known need</t>
  </si>
  <si>
    <t xml:space="preserve">                                     TURN CONTEXT INTO THREE POSSIBLE CLIENT MANDATES</t>
  </si>
  <si>
    <t>Most important risk metric</t>
  </si>
  <si>
    <t>Concentration / diversification</t>
  </si>
  <si>
    <t>Drawdown + liquidity</t>
  </si>
  <si>
    <t>Liquidity coverage</t>
  </si>
  <si>
    <t>ADDITIONAL CASE INTAKE — ASSUMED CLIENT-PROVIDED DATA</t>
  </si>
  <si>
    <t>Likely action</t>
  </si>
  <si>
    <t>Monthly household spending</t>
  </si>
  <si>
    <t>₹2.18 lakh</t>
  </si>
  <si>
    <t>Determines the true liquidity requirement.</t>
  </si>
  <si>
    <t>Trim concentrated themes; retain growth</t>
  </si>
  <si>
    <t>Emergency reserve outside portfolio</t>
  </si>
  <si>
    <t>₹9.40 lakh</t>
  </si>
  <si>
    <t>Shows how much of the portfolio can remain invested through volatility.</t>
  </si>
  <si>
    <t>De-risk over time; create buckets</t>
  </si>
  <si>
    <t>Insurance cover</t>
  </si>
  <si>
    <t>₹1.75 crore term + ₹18 lakh health cover</t>
  </si>
  <si>
    <t>Reduces forced-liquidation risk after an adverse event.</t>
  </si>
  <si>
    <t>Ring-fence ₹35L first</t>
  </si>
  <si>
    <t>Investment experience</t>
  </si>
  <si>
    <t>8+ years; comfortable with equities, less experienced with derivatives</t>
  </si>
  <si>
    <t>Supports equity capacity but does not justify unlimited concentration.</t>
  </si>
  <si>
    <t>Behavioural drawdown threshold</t>
  </si>
  <si>
    <t>~20% before requesting a formal review</t>
  </si>
  <si>
    <t>Separates financial capacity from behavioural tolerance.</t>
  </si>
  <si>
    <t>India-focused operating business; ~55% revenue concentration in two major client categories</t>
  </si>
  <si>
    <t>What would be a mistake</t>
  </si>
  <si>
    <t>Creates hidden economic concentration outside securities.</t>
  </si>
  <si>
    <t>Tax / cost-basis readiness</t>
  </si>
  <si>
    <t>Assume statements and acquisition cost data are available</t>
  </si>
  <si>
    <t>Allows tax-aware implementation rather than blunt selling.</t>
  </si>
  <si>
    <t>Over-diversifying into low-return assets</t>
  </si>
  <si>
    <t>Chasing past returns</t>
  </si>
  <si>
    <t>Treating earmarked money as risk capital</t>
  </si>
  <si>
    <t>What changes next</t>
  </si>
  <si>
    <t>Exposure map</t>
  </si>
  <si>
    <t>Stress test + benchmarking</t>
  </si>
  <si>
    <t>Liquidity analysis + scenario test</t>
  </si>
  <si>
    <t xml:space="preserve">                         INSIGHT</t>
  </si>
  <si>
    <t>The same holding can be acceptable for one client and inappropriate for another.</t>
  </si>
  <si>
    <t>STEP 4  |  PORTFOLIO INVENTORY</t>
  </si>
  <si>
    <t>Now we stop talking about a portfolio in the abstract. Every holding gets an identity, a bucket and a working value.</t>
  </si>
  <si>
    <t>Synthetic case portfolio: ₹3.57 crore. Security names are inspired by the public-portfolio concept; quantities, prices and values are fictional case inputs. Benchmarking valuation date: 30-Jun-2025.</t>
  </si>
  <si>
    <t xml:space="preserve">                                       HOLDING-LEVEL WORKING FILE</t>
  </si>
  <si>
    <t>Ticker / Asset</t>
  </si>
  <si>
    <t>Instrument</t>
  </si>
  <si>
    <t>Asset Class</t>
  </si>
  <si>
    <t>Economic Exposure</t>
  </si>
  <si>
    <t>Geography</t>
  </si>
  <si>
    <t>Value (₹L)</t>
  </si>
  <si>
    <t>Weight</t>
  </si>
  <si>
    <t>12M Return</t>
  </si>
  <si>
    <t>3Y CAGR</t>
  </si>
  <si>
    <t>3Y Volatility</t>
  </si>
  <si>
    <t>Role in Portfolio</t>
  </si>
  <si>
    <t>Initial Question</t>
  </si>
  <si>
    <t>SOXX</t>
  </si>
  <si>
    <t>iShares Semiconductor ETF</t>
  </si>
  <si>
    <t>US Equity ETF</t>
  </si>
  <si>
    <t>Semiconductors</t>
  </si>
  <si>
    <t>US</t>
  </si>
  <si>
    <t>Growth / diversification</t>
  </si>
  <si>
    <t>Is this size appropriate?</t>
  </si>
  <si>
    <t>IWM</t>
  </si>
  <si>
    <t>iShares Russell 2000 ETF</t>
  </si>
  <si>
    <t>Small Cap</t>
  </si>
  <si>
    <t>What job does this holding perform?</t>
  </si>
  <si>
    <t>QQQ</t>
  </si>
  <si>
    <t>Invesco QQQ</t>
  </si>
  <si>
    <t>Technology / Growth</t>
  </si>
  <si>
    <t>BTC</t>
  </si>
  <si>
    <t>Bitcoin</t>
  </si>
  <si>
    <t>Crypto</t>
  </si>
  <si>
    <t>Digital Assets</t>
  </si>
  <si>
    <t>Global</t>
  </si>
  <si>
    <t>STEP 5  |  VALIDATE BEFORE YOU ADVISE</t>
  </si>
  <si>
    <t>The analyst's job is not to trust a spreadsheet because it looks tidy. This sheet shows the validation trail and the decisions it unlocks.</t>
  </si>
  <si>
    <t>High-risk satellite</t>
  </si>
  <si>
    <t>Synthetic validation exercise. In a live client file, each source would be replaced with the client's statement, broker statement, fund factsheet, market data source or tax document.</t>
  </si>
  <si>
    <t>MSFT</t>
  </si>
  <si>
    <t>Microsoft</t>
  </si>
  <si>
    <t>Direct Equity</t>
  </si>
  <si>
    <t>Technology</t>
  </si>
  <si>
    <t xml:space="preserve">                                        VALIDATION CONTROL LOG</t>
  </si>
  <si>
    <t>Control</t>
  </si>
  <si>
    <t>Source field</t>
  </si>
  <si>
    <t>Growth / stock selection</t>
  </si>
  <si>
    <t>Source value</t>
  </si>
  <si>
    <t>XLV</t>
  </si>
  <si>
    <t>Analyst field</t>
  </si>
  <si>
    <t>Health Care Select Sector SPDR</t>
  </si>
  <si>
    <t>Analyst value</t>
  </si>
  <si>
    <t>Healthcare</t>
  </si>
  <si>
    <t>Status</t>
  </si>
  <si>
    <t>Portfolio total</t>
  </si>
  <si>
    <t>Client-reported value</t>
  </si>
  <si>
    <t>Our inventory total</t>
  </si>
  <si>
    <t>PASS</t>
  </si>
  <si>
    <t>SLV</t>
  </si>
  <si>
    <t>iShares Silver Trust</t>
  </si>
  <si>
    <t>Correct denominator for allocation analysis.</t>
  </si>
  <si>
    <t>Commodity ETF</t>
  </si>
  <si>
    <t>Precious Metals</t>
  </si>
  <si>
    <t>Valuation date</t>
  </si>
  <si>
    <t>Case date</t>
  </si>
  <si>
    <t>Working valuation date</t>
  </si>
  <si>
    <t>Diversifier</t>
  </si>
  <si>
    <t>All snapshot values are treated as same-date inputs.</t>
  </si>
  <si>
    <t>UNH</t>
  </si>
  <si>
    <t>Holding identity</t>
  </si>
  <si>
    <t>UnitedHealth Group</t>
  </si>
  <si>
    <t>Ticker / instrument mapping</t>
  </si>
  <si>
    <t>21 positions</t>
  </si>
  <si>
    <t>21 mapped</t>
  </si>
  <si>
    <t>Allows consistent asset/sector/geography classification.</t>
  </si>
  <si>
    <t>Price source</t>
  </si>
  <si>
    <t>Public market / case assumption</t>
  </si>
  <si>
    <t>Mixed</t>
  </si>
  <si>
    <t>Synthetic working prices</t>
  </si>
  <si>
    <t>NKE</t>
  </si>
  <si>
    <t>Nike</t>
  </si>
  <si>
    <t>REVIEW</t>
  </si>
  <si>
    <t>Must be replaced by approved market data in a real case.</t>
  </si>
  <si>
    <t>Consumer</t>
  </si>
  <si>
    <t>Tax basis</t>
  </si>
  <si>
    <t>Not available</t>
  </si>
  <si>
    <t>—</t>
  </si>
  <si>
    <t>OPEN</t>
  </si>
  <si>
    <t>Cannot calculate after-tax rebalance cost yet.</t>
  </si>
  <si>
    <t>NVDA</t>
  </si>
  <si>
    <t>Client liabilities</t>
  </si>
  <si>
    <t>NVIDIA</t>
  </si>
  <si>
    <t>Illustrative only</t>
  </si>
  <si>
    <t>₹35L loan</t>
  </si>
  <si>
    <t>₹35L assumed</t>
  </si>
  <si>
    <t>Must be confirmed before final suitability assessment.</t>
  </si>
  <si>
    <t>Not in portfolio statement</t>
  </si>
  <si>
    <t>Unknown</t>
  </si>
  <si>
    <t>Illustrative business interest</t>
  </si>
  <si>
    <t>AMZN</t>
  </si>
  <si>
    <t>Amazon</t>
  </si>
  <si>
    <t>Could materially change overall risk picture.</t>
  </si>
  <si>
    <t>Consumer / Tech</t>
  </si>
  <si>
    <t xml:space="preserve">                                                   THE VALIDATION STORY</t>
  </si>
  <si>
    <t>Checkpoint</t>
  </si>
  <si>
    <t>What the analyst concludes</t>
  </si>
  <si>
    <t>1. The total reconciles</t>
  </si>
  <si>
    <t>The ₹3.57 crore denominator is internally consistent. Allocation percentages can therefore be interpreted without an arithmetic break.</t>
  </si>
  <si>
    <t>GOOGL</t>
  </si>
  <si>
    <t>Alphabet</t>
  </si>
  <si>
    <t>2. Identity is clean enough for analysis</t>
  </si>
  <si>
    <t>Every line has a working ticker / asset name and a common classification. That allows us to aggregate by asset class, sector and geography.</t>
  </si>
  <si>
    <t>3. Market data is still a limitation</t>
  </si>
  <si>
    <t>The case uses synthetic snapshot values. That is acceptable for a training workbook, but it means no claim should be made that these are today's actual market prices.</t>
  </si>
  <si>
    <t>4. Tax and liability information remain open</t>
  </si>
  <si>
    <t>This matters because the economically “best” portfolio change can be practically wrong if it creates a large tax bill or jeopardises a known liability.</t>
  </si>
  <si>
    <t>5. The next step is not a recommendation</t>
  </si>
  <si>
    <t>We now have enough validated structure to calculate the portfolio's actual composition and risk profile, while keeping the open fields visible as caveats.</t>
  </si>
  <si>
    <t>HDFC Bank</t>
  </si>
  <si>
    <t xml:space="preserve">                                                      WHAT I WOULD ASK THE CLIENT / OPERATIONS TEAM FOR</t>
  </si>
  <si>
    <t>Indian Equity</t>
  </si>
  <si>
    <t>Financials</t>
  </si>
  <si>
    <t>India</t>
  </si>
  <si>
    <t>Source</t>
  </si>
  <si>
    <t>Fields needed</t>
  </si>
  <si>
    <t>Decision unlocked</t>
  </si>
  <si>
    <t>Broker / demat statement</t>
  </si>
  <si>
    <t>Growth</t>
  </si>
  <si>
    <t>Current positions + quantities + cost basis</t>
  </si>
  <si>
    <t>Reconcile exact holdings</t>
  </si>
  <si>
    <t>Reliance</t>
  </si>
  <si>
    <t>Mutual fund CAS / statements</t>
  </si>
  <si>
    <t>Reliance Industries</t>
  </si>
  <si>
    <t>Units + NAV + cost</t>
  </si>
  <si>
    <t>Verify fund values and tax lots</t>
  </si>
  <si>
    <t>Energy / Consumer / Telecom</t>
  </si>
  <si>
    <t>Bank / deposit statements</t>
  </si>
  <si>
    <t>FD principal + maturity</t>
  </si>
  <si>
    <t>Verify liquidity bucket</t>
  </si>
  <si>
    <t>Tax records</t>
  </si>
  <si>
    <t>Purchase date / cost / realised gains</t>
  </si>
  <si>
    <t>Estimate implementation friction</t>
  </si>
  <si>
    <t>Goal schedule</t>
  </si>
  <si>
    <t>ICICI Bank</t>
  </si>
  <si>
    <t>Cash-flow needs + dates</t>
  </si>
  <si>
    <t>STEP 7  |  PERFORMANCE &amp; RISK</t>
  </si>
  <si>
    <t>Map assets to liabilities</t>
  </si>
  <si>
    <t>Business / other assets</t>
  </si>
  <si>
    <t>Sector + exposure</t>
  </si>
  <si>
    <t>Avoid hidden concentration</t>
  </si>
  <si>
    <t>Do not stop at “the portfolio made money.” We want to know what generated the return and what the client had to tolerate to earn it.</t>
  </si>
  <si>
    <t>NEXT: NOW THAT THE INPUTS ARE CONTROLLED, WE CAN LOOK THROUGH THE PORTFOLIO</t>
  </si>
  <si>
    <t xml:space="preserve">                                                                    HOLDING-LEVEL RETURN CONTRIBUTION</t>
  </si>
  <si>
    <t>Nifty 50 ETF</t>
  </si>
  <si>
    <t xml:space="preserve">Validation tells us what is reliable, what is synthetic and what remains open. </t>
  </si>
  <si>
    <t>Nifty 50 Index ETF</t>
  </si>
  <si>
    <t>Indian Equity ETF</t>
  </si>
  <si>
    <t>Holding</t>
  </si>
  <si>
    <t>Large Cap</t>
  </si>
  <si>
    <t>Value ₹L</t>
  </si>
  <si>
    <t>Core equity</t>
  </si>
  <si>
    <t>12M return</t>
  </si>
  <si>
    <t>Flexicap Fund</t>
  </si>
  <si>
    <t>Diversified Flexicap MF</t>
  </si>
  <si>
    <t>Mutual Fund</t>
  </si>
  <si>
    <t>Weight × return</t>
  </si>
  <si>
    <t>Diversified Equity</t>
  </si>
  <si>
    <t>3Y vol</t>
  </si>
  <si>
    <t>Diversified equity</t>
  </si>
  <si>
    <t>Short Duration Debt</t>
  </si>
  <si>
    <t>Short Duration Debt Fund</t>
  </si>
  <si>
    <t>Debt MF</t>
  </si>
  <si>
    <t>Fixed Income</t>
  </si>
  <si>
    <t>Stability / liquidity</t>
  </si>
  <si>
    <t>Gold ETF</t>
  </si>
  <si>
    <t>Gold</t>
  </si>
  <si>
    <t>Liquid Fund</t>
  </si>
  <si>
    <t>Liquid Mutual Fund</t>
  </si>
  <si>
    <t>Cash Equivalent</t>
  </si>
  <si>
    <t>Cash / Short-term</t>
  </si>
  <si>
    <t>Liquidity</t>
  </si>
  <si>
    <t>Bank FD</t>
  </si>
  <si>
    <t>Fixed Deposit</t>
  </si>
  <si>
    <t>Deposit</t>
  </si>
  <si>
    <t xml:space="preserve">                                             FIRST READ — WHAT THE INVENTORY TELLS US</t>
  </si>
  <si>
    <t>What it tells us / why it matters</t>
  </si>
  <si>
    <t>Portfolio size</t>
  </si>
  <si>
    <t>₹3.57 crore is large enough that a 1 percentage-point allocation decision represents about ₹3.57 lakh of capital risk or opportunity.</t>
  </si>
  <si>
    <t>Visible complexity</t>
  </si>
  <si>
    <t>21 lines look diversified, but several positions belong to the same economic themes: US growth/technology, semiconductors, financials and risk assets.</t>
  </si>
  <si>
    <t>Debt, liquid fund and FD provide a visible stabilising sleeve; we now test whether it covers the client's known ₹35.40 lakh cash requirement.</t>
  </si>
  <si>
    <t>Immediate question</t>
  </si>
  <si>
    <t>Are we looking at 21 independent decisions or a smaller number of concentrated economic bets?</t>
  </si>
  <si>
    <t>Next step</t>
  </si>
  <si>
    <t>Validate the inputs and classify the holdings consistently before drawing conclusions from the weights.</t>
  </si>
  <si>
    <t>WHY THIS SHEET EXISTS</t>
  </si>
  <si>
    <t>A portfolio review starts with a clean inventory because every later conclusion depends on getting the denominator right.</t>
  </si>
  <si>
    <t>STEP 6  |  PORTFOLIO CONSTRUCTION</t>
  </si>
  <si>
    <t>Classification is synthetic and intentionally simplified for interview training. The objective is to demonstrate look-through thinking, not to reproduce a regulated portfolio accounting system.</t>
  </si>
  <si>
    <t xml:space="preserve">                                                                                            ASSET-CLASS VIEW</t>
  </si>
  <si>
    <t>Economic bucket</t>
  </si>
  <si>
    <t>Portfolio role</t>
  </si>
  <si>
    <t>Equity / Growth</t>
  </si>
  <si>
    <t>Core</t>
  </si>
  <si>
    <t>Commodities</t>
  </si>
  <si>
    <t>Satellite / stabiliser</t>
  </si>
  <si>
    <t>Cash / Liquidity</t>
  </si>
  <si>
    <t>STEP 8  |  RED FLAGS &amp; HOW WE FOUND THEM</t>
  </si>
  <si>
    <t xml:space="preserve">                        SECTOR / THEME VIEW</t>
  </si>
  <si>
    <t>evidence → interpretation → client impact → possible action.</t>
  </si>
  <si>
    <t>A red flag is not automatically a sell signal. It is a reason to investigate whether the exposure is justified by the client's objective, risk capacity and overall wealth.</t>
  </si>
  <si>
    <t>Economic exposure</t>
  </si>
  <si>
    <t>Initial attention</t>
  </si>
  <si>
    <t xml:space="preserve">                           RED-FLAG REGISTER</t>
  </si>
  <si>
    <t>ID</t>
  </si>
  <si>
    <t>High attention</t>
  </si>
  <si>
    <t>Risk type</t>
  </si>
  <si>
    <t>Where found</t>
  </si>
  <si>
    <t>Evidence</t>
  </si>
  <si>
    <t>How we found it</t>
  </si>
  <si>
    <t>Monitor</t>
  </si>
  <si>
    <t>Possible response</t>
  </si>
  <si>
    <t>Goal sensitivity</t>
  </si>
  <si>
    <t>RF-01</t>
  </si>
  <si>
    <t>Theme concentration</t>
  </si>
  <si>
    <t>Semiconductor cluster</t>
  </si>
  <si>
    <t>SOXX + NVDA ≈ 11.6%</t>
  </si>
  <si>
    <t>Two positions express the same theme</t>
  </si>
  <si>
    <t>Large drawdown in semiconductors can hit multiple lines at once</t>
  </si>
  <si>
    <t>Low</t>
  </si>
  <si>
    <t>Review combined cap; consider trimming one source of exposure</t>
  </si>
  <si>
    <t>Goal 1: moderate concern | Goal 2: high concern</t>
  </si>
  <si>
    <t>RF-02</t>
  </si>
  <si>
    <t>Technology overlap</t>
  </si>
  <si>
    <t>US growth cluster</t>
  </si>
  <si>
    <t>QQQ + MSFT + GOOGL + AMZN + tech share of SOXX</t>
  </si>
  <si>
    <t>Different securities can still behave like one trade</t>
  </si>
  <si>
    <t>Client may believe diversification is higher than it really is</t>
  </si>
  <si>
    <t>Calculate look-through overlap; consolidate where redundancy adds little</t>
  </si>
  <si>
    <t xml:space="preserve">                                                           LOOK-THROUGH REASONING</t>
  </si>
  <si>
    <t>All goals</t>
  </si>
  <si>
    <t>RF-03</t>
  </si>
  <si>
    <t>Crypto volatility</t>
  </si>
  <si>
    <t>Finding</t>
  </si>
  <si>
    <t>≈5.3% of portfolio</t>
  </si>
  <si>
    <t>Small weight can create disproportionate P&amp;L swings</t>
  </si>
  <si>
    <t>STEP 9  |  REAL MARKET DATA &amp; PORTFOLIO BENCHMARK MAP</t>
  </si>
  <si>
    <t>Can undermine a moderate-risk mandate</t>
  </si>
  <si>
    <t>Why it matters / what it changes</t>
  </si>
  <si>
    <t>Keep as satellite only if explicitly accepted; cap exposure</t>
  </si>
  <si>
    <t>Goal 2/3: high concern</t>
  </si>
  <si>
    <t>Technology cluster</t>
  </si>
  <si>
    <t>RF-04</t>
  </si>
  <si>
    <t>QQQ + MSFT + GOOGL + AMZN + part of SOXX creates a larger technology/growth exposure than any single line suggests.</t>
  </si>
  <si>
    <t>Portfolio valuation date fixed at 30 June 2025 so every market comparison uses a common, auditable date.</t>
  </si>
  <si>
    <t>Single-stock concentration</t>
  </si>
  <si>
    <t xml:space="preserve">                                      A. CASE DATE &amp; DATA GOVERNANCE</t>
  </si>
  <si>
    <t>≈6.4% direct weight plus index/fund overlap</t>
  </si>
  <si>
    <t>SOXX + NVDA creates a direct thematic concentration. The client owns both an ETF and a large single stock in the same economic theme.</t>
  </si>
  <si>
    <t>Direct weight understates total financial exposure</t>
  </si>
  <si>
    <t>Financials cluster</t>
  </si>
  <si>
    <t>Business / sector stress could be amplified</t>
  </si>
  <si>
    <t>HDFC Bank + ICICI Bank + financial exposure inside Nifty/Flexicap means the visible direct-stock weights understate total financial-sector exposure.</t>
  </si>
  <si>
    <t>Review total look-through financials exposure</t>
  </si>
  <si>
    <t>Value</t>
  </si>
  <si>
    <t>Period / unit</t>
  </si>
  <si>
    <t>Goal 1: monitor; Goal 2/3: review</t>
  </si>
  <si>
    <t>Risk assets</t>
  </si>
  <si>
    <t>Portfolio valuation date</t>
  </si>
  <si>
    <t>RF-05</t>
  </si>
  <si>
    <t>Month-end trading date</t>
  </si>
  <si>
    <t>Chosen because it aligns with the latest public-portfolio activity visible in the case and has extensive month-end market data.</t>
  </si>
  <si>
    <t>BTC is a small line compared with the whole portfolio, but its volatility means its contribution to downside risk can be much larger than its 5% weight suggests.</t>
  </si>
  <si>
    <t>Liquidity earmarking</t>
  </si>
  <si>
    <t>Portfolio case assumption</t>
  </si>
  <si>
    <t>Comparison window</t>
  </si>
  <si>
    <t>₹35L future need</t>
  </si>
  <si>
    <t>28-Jun-2024 to 30-Jun-2025</t>
  </si>
  <si>
    <t>1-year window</t>
  </si>
  <si>
    <t>For 1-year figures, use the last available trading day before/at the start date and 30-Jun-2025 where the source defines the period.</t>
  </si>
  <si>
    <t>Source-specific</t>
  </si>
  <si>
    <t>Debt + FD + liquid assets exist, but exact goal matching is unverified</t>
  </si>
  <si>
    <t>Stability sleeve</t>
  </si>
  <si>
    <t>YTD window</t>
  </si>
  <si>
    <t>31-Dec-2024 to 30-Jun-2025</t>
  </si>
  <si>
    <t>2025 YTD</t>
  </si>
  <si>
    <t>Used where a provider publishes a clean YTD figure as of 30-Jun-2025.</t>
  </si>
  <si>
    <t>A market fall should not force equity sales to fund a known liability</t>
  </si>
  <si>
    <t>Currency treatment</t>
  </si>
  <si>
    <t>Debt + FD + liquid fund create a meaningful stabilising pool. The question is whether it is enough for the client's actual near-term needs.</t>
  </si>
  <si>
    <t>Native market currency for source return; ₹ portfolio value</t>
  </si>
  <si>
    <t>USD assets not FX-adjusted in proxy table</t>
  </si>
  <si>
    <t>Ring-fence a goal bucket before optimising return</t>
  </si>
  <si>
    <t>This sheet compares underlying market performance. It does not pretend the INR investor return equals the USD asset return unless FX is separately modelled.</t>
  </si>
  <si>
    <t>Methodological note</t>
  </si>
  <si>
    <t>Correlation rule</t>
  </si>
  <si>
    <t>No fake correlation coefficient</t>
  </si>
  <si>
    <t>Goal 3: highest priority</t>
  </si>
  <si>
    <t>A single date/return cannot produce statistical correlation</t>
  </si>
  <si>
    <t>True correlation requires a time series of daily/weekly returns. Therefore this sheet uses economic exposure mapping and explicitly does NOT fabricate a correlation coefficient.</t>
  </si>
  <si>
    <t>Analytical control</t>
  </si>
  <si>
    <t xml:space="preserve">                                              B. INDIAN MARKET — REAL DATA AS OF 30 JUNE 2025</t>
  </si>
  <si>
    <t>RF-06</t>
  </si>
  <si>
    <t>Data-quality gap</t>
  </si>
  <si>
    <t>Market series</t>
  </si>
  <si>
    <t>As-of date</t>
  </si>
  <si>
    <t>1Y return / level</t>
  </si>
  <si>
    <t>Period</t>
  </si>
  <si>
    <t>Data type</t>
  </si>
  <si>
    <t>Tax + liabilities + business exposure</t>
  </si>
  <si>
    <t>Nifty 50 TRI</t>
  </si>
  <si>
    <t>Indian large-cap equity</t>
  </si>
  <si>
    <t>7.49%</t>
  </si>
  <si>
    <t>1 year</t>
  </si>
  <si>
    <t>Not in public portfolio</t>
  </si>
  <si>
    <t>TRI</t>
  </si>
  <si>
    <t>PPFAS June 2025 factsheet</t>
  </si>
  <si>
    <t>Recommendation can be financially sensible but practically unsuitable</t>
  </si>
  <si>
    <t>Could change rebalancing order and tax cost</t>
  </si>
  <si>
    <t>Obtain documents before implementation</t>
  </si>
  <si>
    <t xml:space="preserve">                               HOW A RED FLAG IS ACTUALLY FOUND — WALKTHROUGH</t>
  </si>
  <si>
    <t>Nifty 500 TRI</t>
  </si>
  <si>
    <t>Broad Indian equity</t>
  </si>
  <si>
    <t>Stage</t>
  </si>
  <si>
    <t>5.64%</t>
  </si>
  <si>
    <t>What happens</t>
  </si>
  <si>
    <t>Nifty Midcap 150 TRI</t>
  </si>
  <si>
    <t>Indian mid-cap equity</t>
  </si>
  <si>
    <t>6.08%</t>
  </si>
  <si>
    <t>Step 1 — Sort</t>
  </si>
  <si>
    <t>ICICI Prudential June 2025 factsheet</t>
  </si>
  <si>
    <t>Sort holdings by weight. Large positions become immediate review candidates.</t>
  </si>
  <si>
    <t>Step 2 — Group</t>
  </si>
  <si>
    <t>Group by asset class, sector and economic theme. This reveals hidden overlap.</t>
  </si>
  <si>
    <t>Step 3 — Stress</t>
  </si>
  <si>
    <t>Apply a plausible shock to the group rather than each security independently.</t>
  </si>
  <si>
    <t>Step 4 — Link to goal</t>
  </si>
  <si>
    <t>Nifty Bank</t>
  </si>
  <si>
    <t>Indian banking</t>
  </si>
  <si>
    <t>17.70%</t>
  </si>
  <si>
    <t>Ask whether the resulting drawdown would interfere with a known goal.</t>
  </si>
  <si>
    <t>Index return</t>
  </si>
  <si>
    <t>Tata Mutual Fund June 2025 factsheet</t>
  </si>
  <si>
    <t>Step 5 — Decide priority</t>
  </si>
  <si>
    <t>High impact + high relevance to the client's goal = priority issue.</t>
  </si>
  <si>
    <t>Illustrative portfolio</t>
  </si>
  <si>
    <t>Step 6 — Choose action</t>
  </si>
  <si>
    <t>Keep, reduce, exit, replace or ring-fence; do not sell merely because a number is large.</t>
  </si>
  <si>
    <t xml:space="preserve">                               THE THREE BIGGEST RED FLAGS IN THIS CASE.  </t>
  </si>
  <si>
    <t>Nifty IT</t>
  </si>
  <si>
    <t>Indian information technology</t>
  </si>
  <si>
    <t>18.70%</t>
  </si>
  <si>
    <t>Nifty 50 Price Index</t>
  </si>
  <si>
    <t>Priority finding</t>
  </si>
  <si>
    <t>25,517.05</t>
  </si>
  <si>
    <t>index level</t>
  </si>
  <si>
    <t>Price index</t>
  </si>
  <si>
    <t>NSE Indices / Tata MF June 2025 factsheet</t>
  </si>
  <si>
    <t>Why it deserves attention</t>
  </si>
  <si>
    <t xml:space="preserve">                                                   C. U.S. EQUITY &amp; GLOBAL RISK ASSETS — REAL DATA</t>
  </si>
  <si>
    <t>1. Overlap is bigger than the statement makes it look</t>
  </si>
  <si>
    <t>The client has several separate US technology / growth holdings. The key insight is not “too many stocks”; it is “too many ways of expressing the same growth factor.”</t>
  </si>
  <si>
    <t>2. The crypto line is small in weight but large in risk contribution</t>
  </si>
  <si>
    <t>Return</t>
  </si>
  <si>
    <t>A 60% drawdown in a 5% position can create a ~3 percentage-point portfolio hit before considering second-order market effects.</t>
  </si>
  <si>
    <t>S&amp;P 500 Total Return</t>
  </si>
  <si>
    <t>US broad large-cap</t>
  </si>
  <si>
    <t>15.16%</t>
  </si>
  <si>
    <t>Total return</t>
  </si>
  <si>
    <t>YCharts market-return table, data as of 30-Jun-2025</t>
  </si>
  <si>
    <t>3. The ₹35L future need changes the conversation</t>
  </si>
  <si>
    <t>Nasdaq-100 Index</t>
  </si>
  <si>
    <t>US large-cap growth / technology</t>
  </si>
  <si>
    <t>If the client really needs ₹35L in 3–4 years, protecting that amount is more important than squeezing a few extra points of expected return from the total portfolio.</t>
  </si>
  <si>
    <t>16.10%</t>
  </si>
  <si>
    <t>Invesco QQQ Q2 2025 factsheet</t>
  </si>
  <si>
    <t xml:space="preserve">                                            PORTFOLIO-LEVEL READ       </t>
  </si>
  <si>
    <t>QQQ NAV</t>
  </si>
  <si>
    <t>US large-cap growth</t>
  </si>
  <si>
    <t>15.82%</t>
  </si>
  <si>
    <t>ILLUSTRATIVE 12M RETURN</t>
  </si>
  <si>
    <t>ETF total return</t>
  </si>
  <si>
    <t>Russell 2000 / IWM</t>
  </si>
  <si>
    <t>US small-cap</t>
  </si>
  <si>
    <t>7.58%</t>
  </si>
  <si>
    <t>WEIGHTED 3Y CAGR</t>
  </si>
  <si>
    <t>Concrete Advancement Foundation performance report, quarter ended 30-Jun-2025</t>
  </si>
  <si>
    <t>US semiconductors</t>
  </si>
  <si>
    <t>11.17%</t>
  </si>
  <si>
    <t>BlackRock/iShares SOXX SEC filing</t>
  </si>
  <si>
    <t>WEIGHTED 3Y VOLATILITY</t>
  </si>
  <si>
    <t>US healthcare</t>
  </si>
  <si>
    <t>-5.95%</t>
  </si>
  <si>
    <t>June 2025 mutual-fund/ETF performance compilation citing SPDR data</t>
  </si>
  <si>
    <t>Nasdaq Composite</t>
  </si>
  <si>
    <t>BTC WEIGHT</t>
  </si>
  <si>
    <t>US technology-heavy broad market</t>
  </si>
  <si>
    <t>15.57%</t>
  </si>
  <si>
    <t xml:space="preserve">                                                        D. COMMODITIES, CRYPTO &amp; RATES — REAL DATA</t>
  </si>
  <si>
    <t>TOP HOLDING WEIGHT</t>
  </si>
  <si>
    <t>Value / return</t>
  </si>
  <si>
    <t>Gold bullion</t>
  </si>
  <si>
    <t>$3,303.14/oz</t>
  </si>
  <si>
    <t>YTD +25.86%</t>
  </si>
  <si>
    <t>Spot</t>
  </si>
  <si>
    <t>Sprott/Bloomberg, performance as of 30-Jun-2025</t>
  </si>
  <si>
    <t>Domestic gold benchmark</t>
  </si>
  <si>
    <t>Gold in India</t>
  </si>
  <si>
    <t>Benchmark tracked by gold ETFs</t>
  </si>
  <si>
    <t>Physical gold price</t>
  </si>
  <si>
    <t>Baroda BNP Paribas Gold ETF factsheet</t>
  </si>
  <si>
    <t>Silver bullion</t>
  </si>
  <si>
    <t>Silver</t>
  </si>
  <si>
    <t>$36.11/oz</t>
  </si>
  <si>
    <t>YTD +24.94%</t>
  </si>
  <si>
    <t>Domestic silver benchmark</t>
  </si>
  <si>
    <t>Silver in India</t>
  </si>
  <si>
    <t xml:space="preserve">                                           STRESS TEST — WHAT IF A RISK BUCKET FALLS?</t>
  </si>
  <si>
    <t>20.23%</t>
  </si>
  <si>
    <t>Benchmark return</t>
  </si>
  <si>
    <t>ICICI Prudential Silver ETF FoF June 2025 factsheet</t>
  </si>
  <si>
    <t>Digital asset</t>
  </si>
  <si>
    <t>74.0%</t>
  </si>
  <si>
    <t>USD return</t>
  </si>
  <si>
    <t>VanEck Q3 2025 outlook, Bloomberg data as of 30-Jun-2025</t>
  </si>
  <si>
    <t>US 10Y Treasury yield</t>
  </si>
  <si>
    <t>Scenario</t>
  </si>
  <si>
    <t>US fixed income</t>
  </si>
  <si>
    <t>4.24%</t>
  </si>
  <si>
    <t>point-in-time</t>
  </si>
  <si>
    <t>Yield</t>
  </si>
  <si>
    <t>YCharts market/rate table, data as of 30-Jun-2025</t>
  </si>
  <si>
    <t>India 10Y G-sec yield</t>
  </si>
  <si>
    <t>Indian fixed income</t>
  </si>
  <si>
    <t>~6.3%</t>
  </si>
  <si>
    <t>Exposure</t>
  </si>
  <si>
    <t>Crisil June 2025 RateView</t>
  </si>
  <si>
    <t>Portfolio weight</t>
  </si>
  <si>
    <t>Shock</t>
  </si>
  <si>
    <t>Illustrative portfolio impact</t>
  </si>
  <si>
    <t>SOXX + NVDA</t>
  </si>
  <si>
    <t xml:space="preserve">                                                 E. HOLDING → REAL MARKET PROXY MAP</t>
  </si>
  <si>
    <t>Asset class</t>
  </si>
  <si>
    <t>Market bucket</t>
  </si>
  <si>
    <t>Market return / value</t>
  </si>
  <si>
    <t>As-of</t>
  </si>
  <si>
    <t>Mapping logic</t>
  </si>
  <si>
    <t>US growth / tech</t>
  </si>
  <si>
    <t>QQQ + MSFT + GOOGL + AMZN</t>
  </si>
  <si>
    <t>Direct ETF benchmark</t>
  </si>
  <si>
    <t>BlackRock/iShares SEC filing</t>
  </si>
  <si>
    <t>Broad equity / growth</t>
  </si>
  <si>
    <t>All equity / growth</t>
  </si>
  <si>
    <t>Concrete Advancement Foundation report</t>
  </si>
  <si>
    <t xml:space="preserve">                                         WHAT THE CALCULATIONS ACTUALLY TELL US</t>
  </si>
  <si>
    <t>Interpretation / next decision</t>
  </si>
  <si>
    <t>US growth</t>
  </si>
  <si>
    <t>Underlying index benchmark</t>
  </si>
  <si>
    <t>The synthetic portfolio earns a strong positive 12-month result, but the return is partly driven by high-beta / thematic assets. A strong headline number does not prove suitability.</t>
  </si>
  <si>
    <t>Volatility</t>
  </si>
  <si>
    <t>Direct asset benchmark</t>
  </si>
  <si>
    <t>VanEck/Bloomberg</t>
  </si>
  <si>
    <t>Weighted component volatility is elevated because the portfolio contains crypto, semiconductors, small-cap exposure and concentrated growth equities.</t>
  </si>
  <si>
    <t>Overlap</t>
  </si>
  <si>
    <t>SOXX and NVDA are not independent bets; the stress test therefore looks at the cluster rather than the individual line.</t>
  </si>
  <si>
    <t>Goal 1 can tolerate more growth risk than Goal 2. Goal 3 requires a protected liquidity bucket even if the overall portfolio remains growth-oriented.</t>
  </si>
  <si>
    <t>Next</t>
  </si>
  <si>
    <t>US growth / technology</t>
  </si>
  <si>
    <t>The next sheet turns these observations into explicit red flags, with evidence and possible actions.</t>
  </si>
  <si>
    <t>Economic proxy, not holding return</t>
  </si>
  <si>
    <t>Direct sector ETF benchmark</t>
  </si>
  <si>
    <t>SPDR/June 2025 performance compilation</t>
  </si>
  <si>
    <t>Direct benchmark for domestic silver exposure</t>
  </si>
  <si>
    <t>ICICI Prudential Silver ETF FoF</t>
  </si>
  <si>
    <t>Sector proxy; insurer-specific return may differ</t>
  </si>
  <si>
    <t>US large-cap equity</t>
  </si>
  <si>
    <t>Broad proxy; consumer-discretionary-specific return would be preferable if available</t>
  </si>
  <si>
    <t>YCharts market-return table</t>
  </si>
  <si>
    <t>Sector proxy; NVDA is one constituent and can diverge materially</t>
  </si>
  <si>
    <t>US growth / consumer-tech</t>
  </si>
  <si>
    <t>Economic proxy</t>
  </si>
  <si>
    <t>Sector benchmark</t>
  </si>
  <si>
    <t>Tata MF June 2025 factsheet</t>
  </si>
  <si>
    <t>Indian large-cap</t>
  </si>
  <si>
    <t>Broad large-cap proxy</t>
  </si>
  <si>
    <t>Direct benchmark</t>
  </si>
  <si>
    <t>Broad benchmark</t>
  </si>
  <si>
    <t>~6.3% yield</t>
  </si>
  <si>
    <t>Rate environment proxy; NOT a fund return</t>
  </si>
  <si>
    <t>n/a in source table</t>
  </si>
  <si>
    <t>1 year benchmark exists</t>
  </si>
  <si>
    <t>Domestic physical gold benchmark</t>
  </si>
  <si>
    <t>Cash / very short duration</t>
  </si>
  <si>
    <t>4.28%</t>
  </si>
  <si>
    <t>Rate proxy, not fund return</t>
  </si>
  <si>
    <t>YCharts market/rate table</t>
  </si>
  <si>
    <t>Fixed income</t>
  </si>
  <si>
    <t>Market-rate context; actual FD rate depends on tenor/bank</t>
  </si>
  <si>
    <t xml:space="preserve">                                                    F. PORTFOLIO-LEVEL MARKET CORRESPONDENCE — WHAT THE REAL DATA SAYS </t>
  </si>
  <si>
    <t>Market proxy / series</t>
  </si>
  <si>
    <t>Mapped value ₹L</t>
  </si>
  <si>
    <t>Mapped portfolio weight</t>
  </si>
  <si>
    <t>Real market return</t>
  </si>
  <si>
    <t>Weight × proxy return</t>
  </si>
  <si>
    <t>STEP 10  |  GOAL BENCHMARKING &amp; IMPLEMENTATION</t>
  </si>
  <si>
    <t xml:space="preserve">                                                           A. THE THREE MANDATES</t>
  </si>
  <si>
    <t>1M Treasury rate</t>
  </si>
  <si>
    <t>Horizon</t>
  </si>
  <si>
    <t>Risk budget</t>
  </si>
  <si>
    <t>What success means</t>
  </si>
  <si>
    <t>Goal 1 — Wealth compounding</t>
  </si>
  <si>
    <t>10+ years</t>
  </si>
  <si>
    <t>High</t>
  </si>
  <si>
    <t>Grow ₹3.57Cr materially while tolerating interim drawdowns.</t>
  </si>
  <si>
    <t>Growth is the dominant job; diversification and concentration control are still required.</t>
  </si>
  <si>
    <t>Goal 2 — Retirement readiness</t>
  </si>
  <si>
    <t>~5–10 years</t>
  </si>
  <si>
    <t>Medium</t>
  </si>
  <si>
    <t>Build a reliable corpus and reduce the probability that a bad market phase damages the withdrawal plan.</t>
  </si>
  <si>
    <t>Stability and liquidity become more important as the withdrawal date approaches.</t>
  </si>
  <si>
    <t>Goal 3 — ₹35L known outlay</t>
  </si>
  <si>
    <t>3–4 years</t>
  </si>
  <si>
    <t>Low for liability bucket</t>
  </si>
  <si>
    <t>Protect the amount required for a known future obligation while investing the residual corpus for longer-term growth.</t>
  </si>
  <si>
    <t>The liability should not depend on BTC, semiconductors or other high-volatility assets.</t>
  </si>
  <si>
    <t xml:space="preserve">                                                     B. CURRENT PORTFOLIO — THE STARTING POINT</t>
  </si>
  <si>
    <t>Current bucket</t>
  </si>
  <si>
    <t>Growth / Equity</t>
  </si>
  <si>
    <t xml:space="preserve">                                            C. STRATEGIC ALLOCATION — THREE DIFFERENT JOBS FOR THE SAME ₹3.57 CRORE</t>
  </si>
  <si>
    <t>Mandate</t>
  </si>
  <si>
    <t>Cash</t>
  </si>
  <si>
    <t>Reason</t>
  </si>
  <si>
    <t>Growth compounding</t>
  </si>
  <si>
    <t>Growth first; diversifiers are controlled and crypto is not required to hit the mandate.</t>
  </si>
  <si>
    <t>Retirement readiness</t>
  </si>
  <si>
    <t>Lower drawdown sensitivity and more dependable liquidity as withdrawals approach.</t>
  </si>
  <si>
    <t>₹35L outlay + residual growth</t>
  </si>
  <si>
    <t>First protect the liability; residual capital can remain growth-oriented.</t>
  </si>
  <si>
    <t xml:space="preserve">                                                    D. WHY THESE TARGETS? — THE ASSUMPTION LOG</t>
  </si>
  <si>
    <t>STEP 10A  |  RECOMMENDATION — EVIDENCE → ACTION</t>
  </si>
  <si>
    <t>Asset assumption</t>
  </si>
  <si>
    <t>Base expected return</t>
  </si>
  <si>
    <t>Type</t>
  </si>
  <si>
    <t>Why this magnitude</t>
  </si>
  <si>
    <t>Planning logic</t>
  </si>
  <si>
    <t>Indian / global equity growth sleeve</t>
  </si>
  <si>
    <t>10.0% nominal p.a.</t>
  </si>
  <si>
    <t>Case-study planning assumption</t>
  </si>
  <si>
    <t>Below the 15.16% S&amp;P 500 and above the lower recent Indian 1Y benchmarks in some sleeves; deliberately avoids extrapolating one exceptional year.</t>
  </si>
  <si>
    <t>Long-horizon planning should not simply repeat the strongest recent market return.</t>
  </si>
  <si>
    <t>6.5% nominal p.a.</t>
  </si>
  <si>
    <t xml:space="preserve">Illustrative case-study recommendation. </t>
  </si>
  <si>
    <t>Anchored around the June-2025 Indian fixed-income rate environment (~6.3% 10Y G-sec yield), with modest allowance for carry/roll-down in a diversified debt sleeve.</t>
  </si>
  <si>
    <t>Debt is being used for stability first, not return maximisation.</t>
  </si>
  <si>
    <t>5.0% nominal p.a.</t>
  </si>
  <si>
    <t>Conservative relative to the 4.28% 1M Treasury rate and designed to represent a liquid yield environment rather than equity-like growth.</t>
  </si>
  <si>
    <t>Cash should be available when the goal requires it.</t>
  </si>
  <si>
    <t>Gold / commodities</t>
  </si>
  <si>
    <t>6.0% nominal p.a.</t>
  </si>
  <si>
    <t>Well below the exceptional 2025 YTD gold/silver performance; treats commodities as diversifiers rather than perpetual high-return assets.</t>
  </si>
  <si>
    <t>Avoids projecting a commodity spike forever.</t>
  </si>
  <si>
    <t xml:space="preserve">                                                   1. DIAGNOSIS</t>
  </si>
  <si>
    <t>0.0% in goal projection</t>
  </si>
  <si>
    <t>Risk-budget treatment</t>
  </si>
  <si>
    <t>Bitcoin returned 74% over the prior year, but that extreme outcome is precisely why it should not be used as a dependable goal-funding assumption.</t>
  </si>
  <si>
    <t>Upside is optional; liability funding should not depend on it.</t>
  </si>
  <si>
    <t xml:space="preserve">                                               E. EXPECTED RETURN OF EACH STRATEGIC PORTFOLIO                                                           </t>
  </si>
  <si>
    <t>Decision implication</t>
  </si>
  <si>
    <t>Market context</t>
  </si>
  <si>
    <t>30-Jun-2025 was a strong period for several risk assets: S&amp;P 500 +15.16% 1Y, Nasdaq-100 +16.10%, Bitcoin +74.0%, while XLV was -5.95%.</t>
  </si>
  <si>
    <t>The portfolio therefore contains exposures that recently behaved very differently; diversification is real, but so are concentrated risks.</t>
  </si>
  <si>
    <t>Equity %</t>
  </si>
  <si>
    <t>Debt %</t>
  </si>
  <si>
    <t>Portfolio structure</t>
  </si>
  <si>
    <t>Cash %</t>
  </si>
  <si>
    <t>Commodities %</t>
  </si>
  <si>
    <t>71.1% is classified as growth/equity; crypto is ~5.3%; commodities ~7.4%.</t>
  </si>
  <si>
    <t>Crypto %</t>
  </si>
  <si>
    <t>The portfolio is clearly growth-oriented and should not be treated as a balanced low-risk portfolio.</t>
  </si>
  <si>
    <t>Illustrative expected return</t>
  </si>
  <si>
    <t>Goal dependency</t>
  </si>
  <si>
    <t>The same portfolio can be defensible for long-horizon wealth compounding and too aggressive for retirement / near-term liability funding.</t>
  </si>
  <si>
    <t>Suitability—not recent return—is the decision criterion.</t>
  </si>
  <si>
    <t xml:space="preserve">                                                  2. RECOMMENDATION MATRIX</t>
  </si>
  <si>
    <t>Keep</t>
  </si>
  <si>
    <t>Review / reduce</t>
  </si>
  <si>
    <t>Do not rely on</t>
  </si>
  <si>
    <t>Implementation</t>
  </si>
  <si>
    <t>Keep growth core</t>
  </si>
  <si>
    <t>Reduce duplicated technology/semiconductor risk</t>
  </si>
  <si>
    <t>Keep crypto only as explicitly approved satellite</t>
  </si>
  <si>
    <t>Rebalance within strategic ranges</t>
  </si>
  <si>
    <t xml:space="preserve">                                                    F. 5-YEAR &amp; 10-YEAR COMPOUNDING DEMONSTRATION</t>
  </si>
  <si>
    <t>Retirement</t>
  </si>
  <si>
    <t>Increase debt / liquidity</t>
  </si>
  <si>
    <t>Reduce high-beta concentration</t>
  </si>
  <si>
    <t>Remove dependency on crypto for goal funding</t>
  </si>
  <si>
    <t>Build withdrawal bucket</t>
  </si>
  <si>
    <t>Expected return</t>
  </si>
  <si>
    <t>₹35L outlay</t>
  </si>
  <si>
    <t>Starting capital</t>
  </si>
  <si>
    <t>Ring-fence liability</t>
  </si>
  <si>
    <t>Horizon shown</t>
  </si>
  <si>
    <t>Fund the liability from low-volatility assets</t>
  </si>
  <si>
    <t>Illustrative ending value</t>
  </si>
  <si>
    <t>Do not count crypto/semiconductors toward required goal funding</t>
  </si>
  <si>
    <t>Interpretation</t>
  </si>
  <si>
    <t>Optimise only the residual corpus</t>
  </si>
  <si>
    <t xml:space="preserve">                                                  3. WHAT WE WOULD DO FIRST</t>
  </si>
  <si>
    <t>10 years</t>
  </si>
  <si>
    <t>Long-horizon illustration; assumes no contributions/withdrawals.</t>
  </si>
  <si>
    <t>Action</t>
  </si>
  <si>
    <t>Confirm goal + horizon</t>
  </si>
  <si>
    <t>Ask the client to rank the three mandates; this changes the risk budget.</t>
  </si>
  <si>
    <t>Illustration only; real retirement analysis needs cash-flow modelling, not just corpus compounding.</t>
  </si>
  <si>
    <t>Confirm liquidity need</t>
  </si>
  <si>
    <t>Verify whether ₹35L is genuinely required in 3–4 years and whether other liabilities exist.</t>
  </si>
  <si>
    <t>4 years</t>
  </si>
  <si>
    <t>Liability is separately ring-fenced; this ending value is the residual corpus only and excludes the ₹35L liability bucket.</t>
  </si>
  <si>
    <t>Look through overlapping exposures</t>
  </si>
  <si>
    <t>Treat QQQ + MSFT + GOOGL + AMZN + SOXX + NVDA as economic exposures, not six independent bets.</t>
  </si>
  <si>
    <t xml:space="preserve">                                           G. GOAL 3 — ₹35 LAKH LIABILITY: RING-FENCE THE LIABILITY FIRST</t>
  </si>
  <si>
    <t>Set concentration limits</t>
  </si>
  <si>
    <t>Agree caps for single names, semiconductor theme and crypto.</t>
  </si>
  <si>
    <t>Rebalance gradually</t>
  </si>
  <si>
    <t>Use new money / staged sales where appropriate rather than indiscriminate churn.</t>
  </si>
  <si>
    <t>STEP 11  |  CLIENT MEETING &amp; CONVERSION</t>
  </si>
  <si>
    <t>6</t>
  </si>
  <si>
    <t>Amount</t>
  </si>
  <si>
    <t>Document the rationale</t>
  </si>
  <si>
    <t>Calculation / basis</t>
  </si>
  <si>
    <t>Every change must point back to a goal or risk identified in the workbook.</t>
  </si>
  <si>
    <t>Future liability</t>
  </si>
  <si>
    <t>₹35.40L</t>
  </si>
  <si>
    <t>₹35.40L required in year 4</t>
  </si>
  <si>
    <t>Known objective; should not be financed by high-volatility assets.</t>
  </si>
  <si>
    <t>WHY THIS IS BETTER</t>
  </si>
  <si>
    <t>Planning rate</t>
  </si>
  <si>
    <t>6.50% p.a.</t>
  </si>
  <si>
    <t>Illustrative debt return</t>
  </si>
  <si>
    <t>Anchored near June-2025 Indian fixed-income environment; not guaranteed.</t>
  </si>
  <si>
    <t>Indicative amount today</t>
  </si>
  <si>
    <t xml:space="preserve"> explain the problem simply, connect it to the goal, and show the value of the proposed approach.</t>
  </si>
  <si>
    <t>₹27.52L</t>
  </si>
  <si>
    <t>₹35.40L / (1.065)^4</t>
  </si>
  <si>
    <t>Shows the opportunity cost of ring-fencing via a low-volatility sleeve rather than keeping the entire ₹35L idle.</t>
  </si>
  <si>
    <t>first  identify the client goal, map the portfolio to real market risks, then choose a strategic allocation and show the rupee consequences.</t>
  </si>
  <si>
    <t>Residual corpus</t>
  </si>
  <si>
    <t>₹3.29Cr</t>
  </si>
  <si>
    <t>₹3.57Cr − ₹27.52L</t>
  </si>
  <si>
    <t>Only the residual capital should carry the long-horizon growth mandate.</t>
  </si>
  <si>
    <t xml:space="preserve">                               60-MINUTE MEETING FLOW</t>
  </si>
  <si>
    <t>Liability check</t>
  </si>
  <si>
    <t xml:space="preserve">                                         4. GOAL 1 — LONG-TERM WEALTH COMPOUNDING</t>
  </si>
  <si>
    <t>₹27.52L × (1 + 6.5%)^4 ≈ ₹35.40L</t>
  </si>
  <si>
    <t>Time</t>
  </si>
  <si>
    <t>Keep the growth engine. Remove duplicated economic bets and add enough stabilising capital to rebalance rather than react.</t>
  </si>
  <si>
    <t>This is a mathematical illustration, not a guaranteed investment outcome.</t>
  </si>
  <si>
    <t>Bucket</t>
  </si>
  <si>
    <t>Purpose</t>
  </si>
  <si>
    <t>Current ₹L</t>
  </si>
  <si>
    <t>Current %</t>
  </si>
  <si>
    <t xml:space="preserve">                                    H. IMPLEMENTATION — SHOW THE PORTFOLIO CHANGE IN RUPEES</t>
  </si>
  <si>
    <t>What the advisor actually does</t>
  </si>
  <si>
    <t>Target %</t>
  </si>
  <si>
    <t>Target ₹L</t>
  </si>
  <si>
    <t>₹ change</t>
  </si>
  <si>
    <t>Planning return</t>
  </si>
  <si>
    <t>0–5 min</t>
  </si>
  <si>
    <t>Retain the compounding engine while trimming duplicated US growth / semiconductor risk.</t>
  </si>
  <si>
    <t>10.0%</t>
  </si>
  <si>
    <t>Set agenda</t>
  </si>
  <si>
    <t>“I’d like to understand what you want the money to do, then show you what your current portfolio is doing well, where I see avoidable risk, and what I would change.”</t>
  </si>
  <si>
    <t>Add ballast and rebalancing capacity.</t>
  </si>
  <si>
    <t>6.5%</t>
  </si>
  <si>
    <t>Create a small liquidity reserve.</t>
  </si>
  <si>
    <t>5–15 min</t>
  </si>
  <si>
    <t>5.0%</t>
  </si>
  <si>
    <t>Reduce</t>
  </si>
  <si>
    <t>Goal discovery</t>
  </si>
  <si>
    <t>Retain diversification without chasing recent commodity performance.</t>
  </si>
  <si>
    <t>6.0%</t>
  </si>
  <si>
    <t>Confirm horizon, liquidity, family obligations, risk tolerance and what triggered the conversation.</t>
  </si>
  <si>
    <t>Remove crypto from the core goal benchmark.</t>
  </si>
  <si>
    <t>Increase</t>
  </si>
  <si>
    <t>0.0%</t>
  </si>
  <si>
    <t>15–25 min</t>
  </si>
  <si>
    <t>WORK SHOWN: Current = 8.55% p.a. Target = (70%×10%) + (20%×6.5%) + (5%×5%) + (5%×6%) = 8.85% p.a. Model difference = +0.30 pp. 10-year illustration: ₹3.57Cr × 1.0885¹⁰ ≈ ₹8.34Cr versus current-model ₹8.11Cr.</t>
  </si>
  <si>
    <t>Metric</t>
  </si>
  <si>
    <t>Current</t>
  </si>
  <si>
    <t>Portfolio walkthrough</t>
  </si>
  <si>
    <t>Goal target</t>
  </si>
  <si>
    <t>Change</t>
  </si>
  <si>
    <t>5-year illustrative value</t>
  </si>
  <si>
    <t>Show current allocation and the three biggest economic exposures.</t>
  </si>
  <si>
    <t>₹5.38Cr</t>
  </si>
  <si>
    <t>₹5.46Cr</t>
  </si>
  <si>
    <t>+₹7.50L</t>
  </si>
  <si>
    <t>Illustration only; no flows, constant assumptions.</t>
  </si>
  <si>
    <t>10-year illustrative value</t>
  </si>
  <si>
    <t>₹8.11Cr</t>
  </si>
  <si>
    <t>₹8.34Cr</t>
  </si>
  <si>
    <t>25–35 min</t>
  </si>
  <si>
    <t>+₹22.76L</t>
  </si>
  <si>
    <t>Compounding illustration, not a forecast.</t>
  </si>
  <si>
    <t>Diagnosis</t>
  </si>
  <si>
    <t xml:space="preserve">                                      5. GOAL 2 — RETIREMENT / FINANCIAL INDEPENDENCE</t>
  </si>
  <si>
    <t xml:space="preserve">                                             I. PRACTICAL TRADE SEQUENCE — NOT “SELL EVERYTHING TOMORROW”</t>
  </si>
  <si>
    <t>Explain overlap, concentration and liquidity using rupee impact rather than jargon.</t>
  </si>
  <si>
    <t>Reduce dependence on selling growth assets during a poor market phase. The lower model return is an explicit trade-off for a much larger stabilising sleeve.</t>
  </si>
  <si>
    <t>35–45 min</t>
  </si>
  <si>
    <t>What we actually do</t>
  </si>
  <si>
    <t>Material effect on goal</t>
  </si>
  <si>
    <t>Identify low-volatility assets sufficient for the ₹35L obligation.</t>
  </si>
  <si>
    <t>Show keep / reduce / ring-fence decisions and explain the trade-offs.</t>
  </si>
  <si>
    <t>Goal 3: immediately reduces the chance that a market drawdown creates a funding problem.</t>
  </si>
  <si>
    <t>Stop adding to overlapping themes</t>
  </si>
  <si>
    <t>Do not add to semiconductors / concentrated technology while concentration is being assessed.</t>
  </si>
  <si>
    <t>Reduces future drift without unnecessary churn.</t>
  </si>
  <si>
    <t>45–55 min</t>
  </si>
  <si>
    <t>Trim the highest-concentration satellites first</t>
  </si>
  <si>
    <t>Reduce growth by ₹56.39L.</t>
  </si>
  <si>
    <t>Prioritise positions whose economic risk is duplicated elsewhere.</t>
  </si>
  <si>
    <t>Approach / solution</t>
  </si>
  <si>
    <t>Improves diversification before touching the core.</t>
  </si>
  <si>
    <t>Build the stabilising sleeve</t>
  </si>
  <si>
    <t>Explain how a professional portfolio-management process can solve the identified gaps.</t>
  </si>
  <si>
    <t>Increase debt / liquidity toward the strategic range.</t>
  </si>
  <si>
    <t>Creates dry powder and reduces drawdown sensitivity.</t>
  </si>
  <si>
    <t>Rebalance the residual growth sleeve</t>
  </si>
  <si>
    <t>Add ₹78.79L of high-quality debt.</t>
  </si>
  <si>
    <t>55–60 min</t>
  </si>
  <si>
    <t>Retain broad growth exposure rather than replacing it with a pile of new products.</t>
  </si>
  <si>
    <t>Keeps long-term compounding engine intact.</t>
  </si>
  <si>
    <t>Set review bands</t>
  </si>
  <si>
    <t>Define acceptable allocation ranges and a review cadence.</t>
  </si>
  <si>
    <t>Close</t>
  </si>
  <si>
    <t>Turns a one-off recommendation into an ongoing process.</t>
  </si>
  <si>
    <t>Increase readily accessible liquidity by ₹5.62L.</t>
  </si>
  <si>
    <t xml:space="preserve">                                               J. WHAT CHANGES IF THE CLIENT CHOOSES A DIFFERENT GOAL?</t>
  </si>
  <si>
    <t>Confirm objections, documents required and next action / follow-up date.</t>
  </si>
  <si>
    <t>Retain a modest diversifier.</t>
  </si>
  <si>
    <t>Primary change</t>
  </si>
  <si>
    <t>Why current portfolio differs</t>
  </si>
  <si>
    <t>Material consequence</t>
  </si>
  <si>
    <t xml:space="preserve">                                  HOW TO EXPLAIN THE THREE BIGGEST FINDINGS</t>
  </si>
  <si>
    <t>Wealth compounding</t>
  </si>
  <si>
    <t>Do not make retirement funding dependent on crypto.</t>
  </si>
  <si>
    <t>Keep more growth risk</t>
  </si>
  <si>
    <t>Current portfolio is close in broad growth weight, but concentration needs management.</t>
  </si>
  <si>
    <t>Expected return remains highest of the three case mandates; drawdowns are tolerated.</t>
  </si>
  <si>
    <t>WORK SHOWN: Target = (55%×10%) + (35%×6.5%) + (5%×5%) + (5%×6%) = 8.33% p.a. Current = 8.55%. Difference = −0.23 pp. Stabilising assets rise from ₹58.39L to ₹142.80L, a +₹84.41L structural change.</t>
  </si>
  <si>
    <t>Increase stabilising assets</t>
  </si>
  <si>
    <t>Current 71% growth is materially above the illustrative 55% target.</t>
  </si>
  <si>
    <t>Lower expected return, but lower dependence on equity markets at the withdrawal phase.</t>
  </si>
  <si>
    <t>Protect liability first</t>
  </si>
  <si>
    <t>The first ₹35L of future need is treated separately from long-term wealth.</t>
  </si>
  <si>
    <t>The client can pursue growth with the residual ₹2.65Cr without putting the known liability at market risk.</t>
  </si>
  <si>
    <t>Client-friendly explanation</t>
  </si>
  <si>
    <t>₹5.32Cr</t>
  </si>
  <si>
    <t>−₹5.53L</t>
  </si>
  <si>
    <t>Price paid in the model for more stability.</t>
  </si>
  <si>
    <t>Debt + cash</t>
  </si>
  <si>
    <t>₹58.39L</t>
  </si>
  <si>
    <t>₹142.80L</t>
  </si>
  <si>
    <t>“You own several good companies and funds. The issue is not that any one is necessarily bad; it is that several can fall for the same reason. So I want to manage the combined exposure, not judge each line in isolation.”</t>
  </si>
  <si>
    <t>+₹84.41L</t>
  </si>
  <si>
    <t>Materially lower dependence on growth assets.</t>
  </si>
  <si>
    <t xml:space="preserve">                                 6. GOAL 3 — ₹35.40L CAPITAL PRESERVATION + FUTURE OUTLAY</t>
  </si>
  <si>
    <t>Protect the known liability first. At a 6.5% planning rate, approximately ₹27.52L today can grow to ₹35.40L in year four.</t>
  </si>
  <si>
    <t>“At roughly 5% it doesn't dominate the portfolio, but a 60% fall would still remove around 3% of the portfolio's value. The question is whether you're comfortable accepting that swing for the role crypto plays.”</t>
  </si>
  <si>
    <t>“If ₹35 lakh is genuinely needed in three to four years, I'd rather protect that amount first. The rest of your capital can continue taking long-term growth risk.”</t>
  </si>
  <si>
    <t>Reduce growth by ₹92.09L; retain a long-term growth engine.</t>
  </si>
  <si>
    <t xml:space="preserve">                                      OBJECTION HANDLING</t>
  </si>
  <si>
    <t>Build the core liability-protection sleeve.</t>
  </si>
  <si>
    <t>Likely objection</t>
  </si>
  <si>
    <t>Create visible liquidity.</t>
  </si>
  <si>
    <t>Response</t>
  </si>
  <si>
    <t>Retain diversification but do not count it as guaranteed liability funding.</t>
  </si>
  <si>
    <t>“My portfolio has done well. Why change it?”</t>
  </si>
  <si>
    <t>Remove crypto from liability funding.</t>
  </si>
  <si>
    <t>“Performance is one input. We're checking whether the return came with a level of concentration that still fits your future goal.”</t>
  </si>
  <si>
    <t>WORK SHOWN: ₹35.40L ÷ (1.065)^4 = ₹27.52L. Ring-fence that amount today. Residual capital = ₹3.57Cr − ₹27.52L = ~₹3.29Cr. A 25% fall across the current ₹252.74L growth sleeve would mark ~₹63.19L lower; a 60% crypto fall would cost ~₹11.18L.</t>
  </si>
  <si>
    <t>“Why not just keep everything?”</t>
  </si>
  <si>
    <t>“You can. The reason to change anything is only if we can identify a risk or inefficiency that matters to your objective.”</t>
  </si>
  <si>
    <t>Year 4</t>
  </si>
  <si>
    <t>Known obligation.</t>
  </si>
  <si>
    <t>Present value</t>
  </si>
  <si>
    <t>“Why do I need professional management?”</t>
  </si>
  <si>
    <t>Today</t>
  </si>
  <si>
    <t>₹35.40L ÷ 1.065⁴.</t>
  </si>
  <si>
    <t>“The value is not simply picking a fund. It is maintaining a repeatable process for asset allocation, risk, monitoring, rebalancing and goal alignment.”</t>
  </si>
  <si>
    <t>After ring-fence</t>
  </si>
  <si>
    <t>Residual capital remains growth capital.</t>
  </si>
  <si>
    <t>“Are you saying my existing investments are bad?”</t>
  </si>
  <si>
    <t>7. RECOMMENDATION SEQUENCE — WHAT HAPPENS FIRST</t>
  </si>
  <si>
    <t>“No. We are separating good investments from good portfolio construction. A good asset can still be too large or redundant inside a portfolio.”</t>
  </si>
  <si>
    <t>Priority</t>
  </si>
  <si>
    <t>Amount / threshold</t>
  </si>
  <si>
    <t>Why first</t>
  </si>
  <si>
    <t>Goal affected</t>
  </si>
  <si>
    <t>Confirm mandate</t>
  </si>
  <si>
    <t xml:space="preserve">                                       CONVERSION CHECKLIST</t>
  </si>
  <si>
    <t>Goal 1 / 2 / 3</t>
  </si>
  <si>
    <t>Three-goal analysis</t>
  </si>
  <si>
    <t>Risk budget changes materially.</t>
  </si>
  <si>
    <t>All</t>
  </si>
  <si>
    <t>~₹27.52L today</t>
  </si>
  <si>
    <t>₹35.40L ÷ 1.065⁴</t>
  </si>
  <si>
    <t>Removes timing risk.</t>
  </si>
  <si>
    <t>Trim overlapping growth</t>
  </si>
  <si>
    <t>₹56.39L–₹92.09L</t>
  </si>
  <si>
    <t>₹252.74L current growth vs targets</t>
  </si>
  <si>
    <t>Reduces duplicated economic exposure.</t>
  </si>
  <si>
    <t>Goals 1–3</t>
  </si>
  <si>
    <t>Build stabilising sleeve</t>
  </si>
  <si>
    <t>Debt + cash to 25–45%</t>
  </si>
  <si>
    <t>Current ₹58.39L</t>
  </si>
  <si>
    <t>Creates liquidity / rebalancing capacity.</t>
  </si>
  <si>
    <t>Goals 2–3</t>
  </si>
  <si>
    <t>Review crypto separately</t>
  </si>
  <si>
    <t>₹18.63L / 5.22%</t>
  </si>
  <si>
    <t>Excluded from model goal return</t>
  </si>
  <si>
    <t>Client understood the problem</t>
  </si>
  <si>
    <t>Prevents speculative return becoming required.</t>
  </si>
  <si>
    <t>Rebalance in stages</t>
  </si>
  <si>
    <t>Tax-aware sales / new money</t>
  </si>
  <si>
    <t>Cost basis required</t>
  </si>
  <si>
    <t>Yes / No</t>
  </si>
  <si>
    <t>Avoids unnecessary churn.</t>
  </si>
  <si>
    <t>Client agreed the problem matters</t>
  </si>
  <si>
    <t>STEP 12  |  FOLLOW-UP &amp; MONITORING</t>
  </si>
  <si>
    <t>Client understands trade-offs</t>
  </si>
  <si>
    <t xml:space="preserve">                              MONITORING DASHBOARD</t>
  </si>
  <si>
    <t>Client sees a reason to consider a managed approach</t>
  </si>
  <si>
    <t>Documents required identified</t>
  </si>
  <si>
    <t>Next meeting / action agreed</t>
  </si>
  <si>
    <t>What we watch</t>
  </si>
  <si>
    <t>Cadence</t>
  </si>
  <si>
    <t>CRM updated</t>
  </si>
  <si>
    <t>Trigger / response</t>
  </si>
  <si>
    <t>Asset allocation drift</t>
  </si>
  <si>
    <t>Compare current weight with strategic range</t>
  </si>
  <si>
    <t>NEXT: A CLIENT RELATIONSHIP DOES NOT END AT THE FIRST RECOMMENDATION</t>
  </si>
  <si>
    <t>Monthly</t>
  </si>
  <si>
    <t>Rebalance when outside approved band</t>
  </si>
  <si>
    <t>Single-security concentration</t>
  </si>
  <si>
    <t>GOAL-SPECIFIC CLIENT PITCHES — SAME PORTFOLIO, THREE DIFFERENT ANSWERS</t>
  </si>
  <si>
    <t>The pitch changes because the definition of success changes. Every number ties back to the portfolio inventory and goal benchmark.</t>
  </si>
  <si>
    <t xml:space="preserve">                                         GOAL 1 — LONG-TERM WEALTH COMPOUNDING</t>
  </si>
  <si>
    <t>Current / proposed</t>
  </si>
  <si>
    <t>Top 10 holdings / single-name cap</t>
  </si>
  <si>
    <t>Signal</t>
  </si>
  <si>
    <t>₹252.74L → ₹249.90L</t>
  </si>
  <si>
    <t>70.8% → 70.0%</t>
  </si>
  <si>
    <t>Investigate breach</t>
  </si>
  <si>
    <t>₹58.39L → ₹89.25L</t>
  </si>
  <si>
    <t>16.35% → 25.0%</t>
  </si>
  <si>
    <t>Model return</t>
  </si>
  <si>
    <t>8.55% → 8.85%</t>
  </si>
  <si>
    <t>+0.30 pp</t>
  </si>
  <si>
    <t>10Y illustration</t>
  </si>
  <si>
    <t>₹8.11Cr → ₹8.34Cr</t>
  </si>
  <si>
    <t>CLOSE</t>
  </si>
  <si>
    <t>“The objective is not to make you conservative. It is to make your growth risk intentional.”</t>
  </si>
  <si>
    <t>Technology / semiconductor / crypto cluster</t>
  </si>
  <si>
    <t xml:space="preserve">                                         GOAL 2 — RETIREMENT / FINANCIAL INDEPENDENCE</t>
  </si>
  <si>
    <t>Review combined exposure</t>
  </si>
  <si>
    <t>₹252.74L → ₹196.35L</t>
  </si>
  <si>
    <t>70.8% → 55.0%</t>
  </si>
  <si>
    <t>₹58.39L → ₹142.80L</t>
  </si>
  <si>
    <t>16.35% → 40.0%</t>
  </si>
  <si>
    <t>8.55% → 8.33%</t>
  </si>
  <si>
    <t>−0.23 pp</t>
  </si>
  <si>
    <t>Goal bucket vs upcoming cash needs</t>
  </si>
  <si>
    <t>₹8.11Cr → ₹7.94Cr</t>
  </si>
  <si>
    <t>−₹16.59L</t>
  </si>
  <si>
    <t>Monthly / on life event</t>
  </si>
  <si>
    <t>“We are consciously giving up some modelled return to buy a larger margin of safety around withdrawals.”</t>
  </si>
  <si>
    <t>Protect short-term liabilities</t>
  </si>
  <si>
    <t>GOAL 3 — ₹35.40L FUTURE OUTLAY</t>
  </si>
  <si>
    <t>“If ₹35.40 lakh is genuinely required in year four, I want that money to have a job that does not depend on Bitcoin, semiconductors or the stock market. At 6.5%, about ₹27.52 lakh today can grow to ₹35.40 lakh.”</t>
  </si>
  <si>
    <t>Portfolio performance</t>
  </si>
  <si>
    <t>Absolute + benchmark-relative</t>
  </si>
  <si>
    <t>Quarterly</t>
  </si>
  <si>
    <t>Explain drivers, not just return</t>
  </si>
  <si>
    <t>After indicative ring-fence</t>
  </si>
  <si>
    <t>Crypto not counted</t>
  </si>
  <si>
    <t>₹18.63L</t>
  </si>
  <si>
    <t>Excluded from liability funding</t>
  </si>
  <si>
    <t>Goal progress</t>
  </si>
  <si>
    <t>“Once the liability is protected, the remaining ₹3.29 crore can take long-term risk without the ₹35.40 lakh obligation hanging over every market move.”</t>
  </si>
  <si>
    <t>Corpus vs required path</t>
  </si>
  <si>
    <t>Update savings / allocation if gap emerges</t>
  </si>
  <si>
    <t>Client circumstances</t>
  </si>
  <si>
    <t>Income, business, family, liabilities</t>
  </si>
  <si>
    <t>At least annually / on event</t>
  </si>
  <si>
    <t>Reassess suitability</t>
  </si>
  <si>
    <t>Tax / implementation</t>
  </si>
  <si>
    <t>Realised gains and upcoming changes</t>
  </si>
  <si>
    <t>Before rebalance</t>
  </si>
  <si>
    <t>Sequence trades efficiently</t>
  </si>
  <si>
    <t xml:space="preserve">                             EXAMPLE MONTHLY REVIEW</t>
  </si>
  <si>
    <t>Area</t>
  </si>
  <si>
    <t>Current case read</t>
  </si>
  <si>
    <t>Allocation</t>
  </si>
  <si>
    <t>Equity / growth</t>
  </si>
  <si>
    <t>High growth exposure</t>
  </si>
  <si>
    <t>Goal-dependent</t>
  </si>
  <si>
    <t>Technology / semiconductors</t>
  </si>
  <si>
    <t>Material overlap remains</t>
  </si>
  <si>
    <t>If cluster rises materially, stop adding and consider trim.</t>
  </si>
  <si>
    <t>Concentration watch</t>
  </si>
  <si>
    <t>~5.3%</t>
  </si>
  <si>
    <t>Acceptable only if explicitly within mandate.</t>
  </si>
  <si>
    <t>Satellite cap</t>
  </si>
  <si>
    <t>Debt + FD + liquid fund</t>
  </si>
  <si>
    <t>Compare with ₹35L goal requirement.</t>
  </si>
  <si>
    <t>Protect if Goal 3</t>
  </si>
  <si>
    <t>Performance</t>
  </si>
  <si>
    <t>Review return vs appropriate benchmark</t>
  </si>
  <si>
    <t>Explain whether excess return came from intended risk.</t>
  </si>
  <si>
    <t xml:space="preserve">                                    WHEN THE CLIENT SHOULD HEAR FROM US</t>
  </si>
  <si>
    <t>Trigger</t>
  </si>
  <si>
    <t>Advisor response</t>
  </si>
  <si>
    <t>Major market drawdown</t>
  </si>
  <si>
    <t>Explain portfolio impact and whether strategic allocation remains intact; avoid emotional reaction.</t>
  </si>
  <si>
    <t>Goal changes</t>
  </si>
  <si>
    <t>Re-run the goal analysis. A new house, education payment, retirement date or business event can change the correct risk level.</t>
  </si>
  <si>
    <t>Large cash inflow</t>
  </si>
  <si>
    <t>Decide whether to invest immediately, stage deployment or fund a known liability.</t>
  </si>
  <si>
    <t>Large portfolio drift</t>
  </si>
  <si>
    <t>Review whether drift is accidental or reflects a deliberate decision.</t>
  </si>
  <si>
    <t>Quarterly review</t>
  </si>
  <si>
    <t>Reconcile performance, benchmark, risks and goal progress.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</si>
</sst>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₹0.00"/>
    <numFmt numFmtId="165" formatCode="0.0%"/>
    <numFmt numFmtId="166" formatCode="0.0"/>
  </numFmts>
  <fonts count="44">
    <font>
      <sz val="11.0"/>
      <color theme="1"/>
      <name val="Calibri"/>
      <scheme val="minor"/>
    </font>
    <font>
      <b/>
      <sz val="20.0"/>
      <color rgb="FFFFFFFF"/>
      <name val="Play"/>
    </font>
    <font/>
    <font>
      <i/>
      <sz val="10.0"/>
      <color rgb="FF666666"/>
      <name val="Arial"/>
    </font>
    <font>
      <b/>
      <sz val="9.0"/>
      <color rgb="FF111111"/>
      <name val="Aptos"/>
    </font>
    <font>
      <b/>
      <sz val="9.0"/>
      <color rgb="FFBF9000"/>
      <name val="Aptos"/>
    </font>
    <font>
      <b/>
      <sz val="12.0"/>
      <color rgb="FFFFFFFF"/>
      <name val="Arial"/>
    </font>
    <font>
      <b/>
      <color rgb="FF17324D"/>
      <name val="Aptos"/>
    </font>
    <font>
      <sz val="11.0"/>
      <color theme="1"/>
      <name val="Calibri"/>
    </font>
    <font>
      <b/>
      <sz val="9.0"/>
      <color rgb="FF17324D"/>
      <name val="Aptos"/>
    </font>
    <font>
      <sz val="9.0"/>
      <color rgb="FF111111"/>
      <name val="Aptos"/>
    </font>
    <font>
      <u/>
      <sz val="12.0"/>
      <color rgb="FF0000FF"/>
      <name val="Calibri"/>
    </font>
    <font>
      <sz val="17.0"/>
      <color theme="1"/>
      <name val="Calibri"/>
    </font>
    <font>
      <color theme="1"/>
      <name val="Calibri"/>
    </font>
    <font>
      <u/>
      <sz val="12.0"/>
      <color theme="10"/>
      <name val="Calibri"/>
    </font>
    <font>
      <b/>
      <sz val="11.0"/>
      <color rgb="FF70AD47"/>
      <name val="Arial"/>
    </font>
    <font>
      <b/>
      <sz val="11.0"/>
      <color rgb="FF8064A2"/>
      <name val="Arial"/>
    </font>
    <font>
      <sz val="9.0"/>
      <color rgb="FF111111"/>
      <name val="Arial"/>
    </font>
    <font>
      <i/>
      <sz val="10.0"/>
      <color rgb="FF666666"/>
      <name val="Aptos"/>
    </font>
    <font>
      <b/>
      <sz val="11.0"/>
      <color rgb="FF70AD47"/>
      <name val="Aptos"/>
    </font>
    <font>
      <b/>
      <sz val="11.0"/>
      <color rgb="FFF4B183"/>
      <name val="Aptos"/>
    </font>
    <font>
      <i/>
      <sz val="20.0"/>
      <color rgb="FF666666"/>
      <name val="Arial"/>
    </font>
    <font>
      <b/>
      <sz val="22.0"/>
      <color rgb="FFFFFFFF"/>
      <name val="Play"/>
    </font>
    <font>
      <i/>
      <sz val="11.0"/>
      <color rgb="FF666666"/>
      <name val="Aptos"/>
    </font>
    <font>
      <b/>
      <sz val="13.0"/>
      <color rgb="FFFFFFFF"/>
      <name val="Arial"/>
    </font>
    <font>
      <b/>
      <sz val="10.0"/>
      <color rgb="FFFFFFFF"/>
      <name val="Aptos"/>
    </font>
    <font>
      <sz val="10.0"/>
      <color rgb="FF222222"/>
      <name val="Aptos"/>
    </font>
    <font>
      <u/>
      <sz val="12.0"/>
      <color theme="10"/>
      <name val="Calibri"/>
    </font>
    <font>
      <b/>
      <color rgb="FF17324D"/>
      <name val="Calibri"/>
    </font>
    <font>
      <b/>
      <sz val="8.0"/>
      <color rgb="FF666666"/>
      <name val="Arial"/>
    </font>
    <font>
      <b/>
      <sz val="8.0"/>
      <color rgb="FF666666"/>
      <name val="Aptos"/>
    </font>
    <font>
      <b/>
      <sz val="16.0"/>
      <color rgb="FF70AD47"/>
      <name val="Play"/>
    </font>
    <font>
      <b/>
      <sz val="16.0"/>
      <color rgb="FF17324D"/>
      <name val="Play"/>
    </font>
    <font>
      <b/>
      <sz val="16.0"/>
      <color rgb="FFF4B183"/>
      <name val="Play"/>
    </font>
    <font>
      <b/>
      <sz val="16.0"/>
      <color rgb="FFC00000"/>
      <name val="Play"/>
    </font>
    <font>
      <b/>
      <sz val="16.0"/>
      <color rgb="FF8064A2"/>
      <name val="Play"/>
    </font>
    <font>
      <b/>
      <sz val="10.0"/>
      <color rgb="FF70AD47"/>
      <name val="Arial"/>
    </font>
    <font>
      <b/>
      <sz val="11.0"/>
      <color rgb="FF2F75B5"/>
      <name val="Aptos"/>
    </font>
    <font>
      <i/>
      <sz val="13.0"/>
      <color rgb="FF666666"/>
      <name val="Arial"/>
    </font>
    <font>
      <sz val="10.0"/>
      <color rgb="FF222222"/>
      <name val="Arial"/>
    </font>
    <font>
      <sz val="19.0"/>
      <color rgb="FFFFFFFF"/>
      <name val="Calibri"/>
    </font>
    <font>
      <sz val="18.0"/>
      <color rgb="FFFFFFFF"/>
      <name val="Calibri"/>
    </font>
    <font>
      <sz val="21.0"/>
      <color rgb="FFFFFFFF"/>
      <name val="Calibri"/>
    </font>
    <font>
      <sz val="19.0"/>
      <color theme="0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FCE4D6"/>
        <bgColor rgb="FFFCE4D6"/>
      </patternFill>
    </fill>
    <fill>
      <patternFill patternType="solid">
        <fgColor rgb="FF2F75B5"/>
        <bgColor rgb="FF2F75B5"/>
      </patternFill>
    </fill>
    <fill>
      <patternFill patternType="solid">
        <fgColor rgb="FFF2F2F2"/>
        <bgColor rgb="FFF2F2F2"/>
      </patternFill>
    </fill>
    <fill>
      <patternFill patternType="solid">
        <fgColor rgb="FF00FFFF"/>
        <bgColor rgb="FF00FFFF"/>
      </patternFill>
    </fill>
    <fill>
      <patternFill patternType="solid">
        <fgColor rgb="FFE2F0D9"/>
        <bgColor rgb="FFE2F0D9"/>
      </patternFill>
    </fill>
    <fill>
      <patternFill patternType="solid">
        <fgColor rgb="FFE4DFEC"/>
        <bgColor rgb="FFE4DFEC"/>
      </patternFill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A64D79"/>
        <bgColor rgb="FFA64D79"/>
      </patternFill>
    </fill>
    <fill>
      <patternFill patternType="solid">
        <fgColor rgb="FF17365D"/>
        <bgColor rgb="FF17365D"/>
      </patternFill>
    </fill>
    <fill>
      <patternFill patternType="solid">
        <fgColor rgb="FF008C95"/>
        <bgColor rgb="FF008C95"/>
      </patternFill>
    </fill>
    <fill>
      <patternFill patternType="solid">
        <fgColor rgb="FFF8FBFD"/>
        <bgColor rgb="FFF8FBFD"/>
      </patternFill>
    </fill>
    <fill>
      <patternFill patternType="solid">
        <fgColor rgb="FFD9E1F2"/>
        <bgColor rgb="FFD9E1F2"/>
      </patternFill>
    </fill>
    <fill>
      <patternFill patternType="solid">
        <fgColor rgb="FFF4CCCC"/>
        <bgColor rgb="FFF4CCCC"/>
      </patternFill>
    </fill>
    <fill>
      <patternFill patternType="solid">
        <fgColor rgb="FFDDEBF7"/>
        <bgColor rgb="FFDDEBF7"/>
      </patternFill>
    </fill>
    <fill>
      <patternFill patternType="solid">
        <fgColor rgb="FF70AD47"/>
        <bgColor rgb="FF70AD47"/>
      </patternFill>
    </fill>
    <fill>
      <patternFill patternType="solid">
        <fgColor rgb="FF1F4E78"/>
        <bgColor rgb="FF1F4E78"/>
      </patternFill>
    </fill>
    <fill>
      <patternFill patternType="solid">
        <fgColor theme="6"/>
        <bgColor theme="6"/>
      </patternFill>
    </fill>
    <fill>
      <patternFill patternType="solid">
        <fgColor rgb="FF93C47D"/>
        <bgColor rgb="FF93C47D"/>
      </patternFill>
    </fill>
  </fills>
  <borders count="9">
    <border/>
    <border>
      <left/>
      <top/>
      <bottom/>
    </border>
    <border>
      <top/>
      <bottom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top style="thin">
        <color rgb="FFD9E1F2"/>
      </top>
      <bottom style="thin">
        <color rgb="FFD9E1F2"/>
      </bottom>
    </border>
    <border>
      <top style="thin">
        <color rgb="FFD9E1F2"/>
      </top>
      <bottom style="thin">
        <color rgb="FFD9E1F2"/>
      </bottom>
    </border>
    <border>
      <right style="thin">
        <color rgb="FFD9E1F2"/>
      </right>
      <top style="thin">
        <color rgb="FFD9E1F2"/>
      </top>
      <bottom style="thin">
        <color rgb="FFD9E1F2"/>
      </bottom>
    </border>
    <border>
      <bottom style="thin">
        <color rgb="FFD9E1F2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2" fillId="0" fontId="2" numFmtId="0" xfId="0" applyBorder="1" applyFont="1"/>
    <xf borderId="0" fillId="0" fontId="3" numFmtId="0" xfId="0" applyAlignment="1" applyFont="1">
      <alignment horizontal="left" readingOrder="0" shrinkToFit="0" vertical="top" wrapText="1"/>
    </xf>
    <xf borderId="1" fillId="3" fontId="4" numFmtId="0" xfId="0" applyAlignment="1" applyBorder="1" applyFill="1" applyFont="1">
      <alignment horizontal="left" shrinkToFit="0" vertical="top" wrapText="1"/>
    </xf>
    <xf borderId="1" fillId="3" fontId="5" numFmtId="0" xfId="0" applyAlignment="1" applyBorder="1" applyFill="1" applyFont="1">
      <alignment horizontal="left" shrinkToFit="0" vertical="top" wrapText="1"/>
    </xf>
    <xf borderId="1" fillId="4" fontId="6" numFmtId="0" xfId="0" applyAlignment="1" applyBorder="1" applyFill="1" applyFont="1">
      <alignment horizontal="left" shrinkToFit="0" vertical="top" wrapText="1"/>
    </xf>
    <xf borderId="1" fillId="4" fontId="6" numFmtId="0" xfId="0" applyAlignment="1" applyBorder="1" applyFill="1" applyFont="1">
      <alignment horizontal="left" readingOrder="0" shrinkToFit="0" vertical="top" wrapText="1"/>
    </xf>
    <xf borderId="3" fillId="5" fontId="7" numFmtId="0" xfId="0" applyAlignment="1" applyBorder="1" applyFill="1" applyFont="1">
      <alignment horizontal="left" shrinkToFit="0" vertical="top" wrapText="1"/>
    </xf>
    <xf borderId="3" fillId="0" fontId="8" numFmtId="0" xfId="0" applyAlignment="1" applyBorder="1" applyFont="1">
      <alignment horizontal="left" shrinkToFit="0" vertical="top" wrapText="1"/>
    </xf>
    <xf borderId="3" fillId="5" fontId="9" numFmtId="0" xfId="0" applyAlignment="1" applyBorder="1" applyFill="1" applyFont="1">
      <alignment horizontal="left" readingOrder="0" shrinkToFit="0" vertical="top" wrapText="1"/>
    </xf>
    <xf borderId="3" fillId="0" fontId="10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shrinkToFit="0" vertical="center" wrapText="0"/>
    </xf>
    <xf borderId="0" fillId="6" fontId="12" numFmtId="0" xfId="0" applyFill="1" applyFont="1"/>
    <xf borderId="0" fillId="0" fontId="13" numFmtId="0" xfId="0" applyFont="1"/>
    <xf borderId="0" fillId="0" fontId="14" numFmtId="0" xfId="0" applyFont="1"/>
    <xf borderId="0" fillId="0" fontId="8" numFmtId="0" xfId="0" applyFont="1"/>
    <xf borderId="1" fillId="7" fontId="15" numFmtId="0" xfId="0" applyAlignment="1" applyBorder="1" applyFill="1" applyFont="1">
      <alignment horizontal="left" readingOrder="0" shrinkToFit="0" vertical="top" wrapText="1"/>
    </xf>
    <xf borderId="1" fillId="8" fontId="16" numFmtId="0" xfId="0" applyAlignment="1" applyBorder="1" applyFill="1" applyFont="1">
      <alignment horizontal="left" readingOrder="0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5" fillId="0" fontId="2" numFmtId="0" xfId="0" applyBorder="1" applyFont="1"/>
    <xf borderId="6" fillId="0" fontId="2" numFmtId="0" xfId="0" applyBorder="1" applyFont="1"/>
    <xf borderId="0" fillId="0" fontId="18" numFmtId="0" xfId="0" applyAlignment="1" applyFont="1">
      <alignment horizontal="left" shrinkToFit="0" vertical="top" wrapText="1"/>
    </xf>
    <xf borderId="3" fillId="0" fontId="10" numFmtId="164" xfId="0" applyAlignment="1" applyBorder="1" applyFont="1" applyNumberFormat="1">
      <alignment horizontal="left" shrinkToFit="0" vertical="top" wrapText="1"/>
    </xf>
    <xf borderId="3" fillId="0" fontId="10" numFmtId="165" xfId="0" applyAlignment="1" applyBorder="1" applyFont="1" applyNumberFormat="1">
      <alignment horizontal="left" shrinkToFit="0" vertical="top" wrapText="1"/>
    </xf>
    <xf borderId="1" fillId="7" fontId="19" numFmtId="0" xfId="0" applyAlignment="1" applyBorder="1" applyFill="1" applyFont="1">
      <alignment horizontal="left" shrinkToFit="0" vertical="top" wrapText="1"/>
    </xf>
    <xf borderId="3" fillId="0" fontId="17" numFmtId="164" xfId="0" applyAlignment="1" applyBorder="1" applyFont="1" applyNumberFormat="1">
      <alignment horizontal="left" readingOrder="0" shrinkToFit="0" vertical="top" wrapText="1"/>
    </xf>
    <xf borderId="1" fillId="3" fontId="20" numFmtId="0" xfId="0" applyAlignment="1" applyBorder="1" applyFill="1" applyFont="1">
      <alignment horizontal="left" shrinkToFit="0" vertical="top" wrapText="1"/>
    </xf>
    <xf borderId="0" fillId="0" fontId="21" numFmtId="0" xfId="0" applyAlignment="1" applyFont="1">
      <alignment horizontal="left" shrinkToFit="0" vertical="top" wrapText="1"/>
    </xf>
    <xf borderId="3" fillId="9" fontId="9" numFmtId="0" xfId="0" applyAlignment="1" applyBorder="1" applyFill="1" applyFont="1">
      <alignment horizontal="left" shrinkToFit="0" vertical="top" wrapText="1"/>
    </xf>
    <xf borderId="3" fillId="10" fontId="10" numFmtId="0" xfId="0" applyAlignment="1" applyBorder="1" applyFill="1" applyFont="1">
      <alignment horizontal="left" shrinkToFit="0" vertical="top" wrapText="1"/>
    </xf>
    <xf borderId="3" fillId="10" fontId="10" numFmtId="164" xfId="0" applyAlignment="1" applyBorder="1" applyFill="1" applyFont="1" applyNumberFormat="1">
      <alignment horizontal="left" shrinkToFit="0" vertical="top" wrapText="1"/>
    </xf>
    <xf borderId="3" fillId="10" fontId="10" numFmtId="165" xfId="0" applyAlignment="1" applyBorder="1" applyFill="1" applyFont="1" applyNumberFormat="1">
      <alignment horizontal="left" shrinkToFit="0" vertical="top" wrapText="1"/>
    </xf>
    <xf borderId="3" fillId="11" fontId="10" numFmtId="0" xfId="0" applyAlignment="1" applyBorder="1" applyFill="1" applyFont="1">
      <alignment horizontal="left" shrinkToFit="0" vertical="top" wrapText="1"/>
    </xf>
    <xf borderId="3" fillId="11" fontId="10" numFmtId="164" xfId="0" applyAlignment="1" applyBorder="1" applyFill="1" applyFont="1" applyNumberFormat="1">
      <alignment horizontal="left" shrinkToFit="0" vertical="top" wrapText="1"/>
    </xf>
    <xf borderId="3" fillId="11" fontId="10" numFmtId="165" xfId="0" applyAlignment="1" applyBorder="1" applyFill="1" applyFont="1" applyNumberFormat="1">
      <alignment horizontal="left" shrinkToFit="0" vertical="top" wrapText="1"/>
    </xf>
    <xf borderId="3" fillId="11" fontId="17" numFmtId="0" xfId="0" applyAlignment="1" applyBorder="1" applyFill="1" applyFont="1">
      <alignment horizontal="left" readingOrder="0" shrinkToFit="0" vertical="top" wrapText="1"/>
    </xf>
    <xf borderId="4" fillId="12" fontId="6" numFmtId="0" xfId="0" applyAlignment="1" applyBorder="1" applyFill="1" applyFont="1">
      <alignment horizontal="left" readingOrder="0" shrinkToFit="0" vertical="top" wrapText="1"/>
    </xf>
    <xf borderId="3" fillId="11" fontId="9" numFmtId="0" xfId="0" applyAlignment="1" applyBorder="1" applyFill="1" applyFont="1">
      <alignment horizontal="left" readingOrder="0" shrinkToFit="0" vertical="top" wrapText="1"/>
    </xf>
    <xf borderId="1" fillId="13" fontId="22" numFmtId="0" xfId="0" applyAlignment="1" applyBorder="1" applyFill="1" applyFont="1">
      <alignment horizontal="left" shrinkToFit="0" vertical="top" wrapText="1"/>
    </xf>
    <xf borderId="3" fillId="11" fontId="9" numFmtId="164" xfId="0" applyAlignment="1" applyBorder="1" applyFill="1" applyFont="1" applyNumberFormat="1">
      <alignment horizontal="left" readingOrder="0" shrinkToFit="0" vertical="top" wrapText="1"/>
    </xf>
    <xf borderId="0" fillId="0" fontId="23" numFmtId="0" xfId="0" applyAlignment="1" applyFont="1">
      <alignment horizontal="left" shrinkToFit="0" vertical="top" wrapText="1"/>
    </xf>
    <xf borderId="1" fillId="14" fontId="24" numFmtId="0" xfId="0" applyAlignment="1" applyBorder="1" applyFill="1" applyFont="1">
      <alignment horizontal="left" readingOrder="0" shrinkToFit="0" vertical="top" wrapText="1"/>
    </xf>
    <xf borderId="7" fillId="4" fontId="25" numFmtId="0" xfId="0" applyAlignment="1" applyBorder="1" applyFill="1" applyFont="1">
      <alignment horizontal="left" shrinkToFit="0" vertical="top" wrapText="1"/>
    </xf>
    <xf borderId="7" fillId="0" fontId="26" numFmtId="0" xfId="0" applyAlignment="1" applyBorder="1" applyFont="1">
      <alignment horizontal="left" shrinkToFit="0" vertical="top" wrapText="1"/>
    </xf>
    <xf borderId="7" fillId="15" fontId="26" numFmtId="0" xfId="0" applyAlignment="1" applyBorder="1" applyFill="1" applyFont="1">
      <alignment horizontal="left" shrinkToFit="0" vertical="top" wrapText="1"/>
    </xf>
    <xf borderId="0" fillId="0" fontId="27" numFmtId="0" xfId="0" applyAlignment="1" applyFont="1">
      <alignment horizontal="left" shrinkToFit="0" vertical="top" wrapText="1"/>
    </xf>
    <xf borderId="3" fillId="7" fontId="28" numFmtId="0" xfId="0" applyAlignment="1" applyBorder="1" applyFill="1" applyFont="1">
      <alignment horizontal="left" shrinkToFit="0" vertical="top" wrapText="1"/>
    </xf>
    <xf borderId="3" fillId="7" fontId="8" numFmtId="164" xfId="0" applyAlignment="1" applyBorder="1" applyFill="1" applyFont="1" applyNumberFormat="1">
      <alignment horizontal="left" shrinkToFit="0" vertical="top" wrapText="1"/>
    </xf>
    <xf borderId="3" fillId="7" fontId="8" numFmtId="165" xfId="0" applyAlignment="1" applyBorder="1" applyFill="1" applyFont="1" applyNumberFormat="1">
      <alignment horizontal="left" shrinkToFit="0" vertical="top" wrapText="1"/>
    </xf>
    <xf borderId="3" fillId="7" fontId="8" numFmtId="0" xfId="0" applyBorder="1" applyFill="1" applyFont="1"/>
    <xf borderId="4" fillId="7" fontId="29" numFmtId="0" xfId="0" applyAlignment="1" applyBorder="1" applyFill="1" applyFont="1">
      <alignment horizontal="center" readingOrder="0" shrinkToFit="0" vertical="top" wrapText="1"/>
    </xf>
    <xf borderId="4" fillId="16" fontId="30" numFmtId="0" xfId="0" applyAlignment="1" applyBorder="1" applyFill="1" applyFont="1">
      <alignment horizontal="center" shrinkToFit="0" vertical="top" wrapText="1"/>
    </xf>
    <xf borderId="4" fillId="3" fontId="30" numFmtId="0" xfId="0" applyAlignment="1" applyBorder="1" applyFill="1" applyFont="1">
      <alignment horizontal="center" shrinkToFit="0" vertical="top" wrapText="1"/>
    </xf>
    <xf borderId="4" fillId="17" fontId="30" numFmtId="0" xfId="0" applyAlignment="1" applyBorder="1" applyFill="1" applyFont="1">
      <alignment horizontal="center" shrinkToFit="0" vertical="top" wrapText="1"/>
    </xf>
    <xf borderId="4" fillId="8" fontId="30" numFmtId="0" xfId="0" applyAlignment="1" applyBorder="1" applyFill="1" applyFont="1">
      <alignment horizontal="center" shrinkToFit="0" vertical="top" wrapText="1"/>
    </xf>
    <xf borderId="4" fillId="7" fontId="31" numFmtId="165" xfId="0" applyAlignment="1" applyBorder="1" applyFill="1" applyFont="1" applyNumberFormat="1">
      <alignment horizontal="center" shrinkToFit="0" vertical="top" wrapText="1"/>
    </xf>
    <xf borderId="4" fillId="16" fontId="32" numFmtId="165" xfId="0" applyAlignment="1" applyBorder="1" applyFill="1" applyFont="1" applyNumberFormat="1">
      <alignment horizontal="center" shrinkToFit="0" vertical="top" wrapText="1"/>
    </xf>
    <xf borderId="4" fillId="3" fontId="33" numFmtId="165" xfId="0" applyAlignment="1" applyBorder="1" applyFill="1" applyFont="1" applyNumberFormat="1">
      <alignment horizontal="center" shrinkToFit="0" vertical="top" wrapText="1"/>
    </xf>
    <xf borderId="4" fillId="17" fontId="34" numFmtId="165" xfId="0" applyAlignment="1" applyBorder="1" applyFill="1" applyFont="1" applyNumberFormat="1">
      <alignment horizontal="center" shrinkToFit="0" vertical="top" wrapText="1"/>
    </xf>
    <xf borderId="4" fillId="8" fontId="35" numFmtId="165" xfId="0" applyAlignment="1" applyBorder="1" applyFill="1" applyFont="1" applyNumberFormat="1">
      <alignment horizontal="center" shrinkToFit="0" vertical="top" wrapText="1"/>
    </xf>
    <xf borderId="3" fillId="0" fontId="10" numFmtId="9" xfId="0" applyAlignment="1" applyBorder="1" applyFont="1" applyNumberFormat="1">
      <alignment horizontal="left" shrinkToFit="0" vertical="top" wrapText="1"/>
    </xf>
    <xf borderId="7" fillId="15" fontId="26" numFmtId="4" xfId="0" applyAlignment="1" applyBorder="1" applyFill="1" applyFont="1" applyNumberFormat="1">
      <alignment horizontal="left" shrinkToFit="0" vertical="top" wrapText="1"/>
    </xf>
    <xf borderId="7" fillId="15" fontId="26" numFmtId="165" xfId="0" applyAlignment="1" applyBorder="1" applyFill="1" applyFont="1" applyNumberFormat="1">
      <alignment horizontal="left" shrinkToFit="0" vertical="top" wrapText="1"/>
    </xf>
    <xf borderId="7" fillId="0" fontId="26" numFmtId="4" xfId="0" applyAlignment="1" applyBorder="1" applyFont="1" applyNumberFormat="1">
      <alignment horizontal="left" shrinkToFit="0" vertical="top" wrapText="1"/>
    </xf>
    <xf borderId="7" fillId="0" fontId="26" numFmtId="165" xfId="0" applyAlignment="1" applyBorder="1" applyFont="1" applyNumberFormat="1">
      <alignment horizontal="left" shrinkToFit="0" vertical="top" wrapText="1"/>
    </xf>
    <xf borderId="7" fillId="0" fontId="26" numFmtId="10" xfId="0" applyAlignment="1" applyBorder="1" applyFont="1" applyNumberFormat="1">
      <alignment horizontal="left" shrinkToFit="0" vertical="top" wrapText="1"/>
    </xf>
    <xf borderId="7" fillId="15" fontId="26" numFmtId="10" xfId="0" applyAlignment="1" applyBorder="1" applyFill="1" applyFont="1" applyNumberFormat="1">
      <alignment horizontal="left" shrinkToFit="0" vertical="top" wrapText="1"/>
    </xf>
    <xf borderId="7" fillId="0" fontId="26" numFmtId="10" xfId="0" applyAlignment="1" applyBorder="1" applyFont="1" applyNumberFormat="1">
      <alignment shrinkToFit="0" vertical="top" wrapText="1"/>
    </xf>
    <xf borderId="7" fillId="15" fontId="26" numFmtId="10" xfId="0" applyAlignment="1" applyBorder="1" applyFill="1" applyFont="1" applyNumberFormat="1">
      <alignment shrinkToFit="0" vertical="top" wrapText="1"/>
    </xf>
    <xf borderId="1" fillId="7" fontId="36" numFmtId="0" xfId="0" applyAlignment="1" applyBorder="1" applyFill="1" applyFont="1">
      <alignment horizontal="left" readingOrder="0" shrinkToFit="0" vertical="top" wrapText="1"/>
    </xf>
    <xf borderId="7" fillId="15" fontId="26" numFmtId="166" xfId="0" applyAlignment="1" applyBorder="1" applyFill="1" applyFont="1" applyNumberFormat="1">
      <alignment horizontal="left" shrinkToFit="0" vertical="top" wrapText="1"/>
    </xf>
    <xf borderId="7" fillId="0" fontId="26" numFmtId="166" xfId="0" applyAlignment="1" applyBorder="1" applyFont="1" applyNumberFormat="1">
      <alignment horizontal="left" shrinkToFit="0" vertical="top" wrapText="1"/>
    </xf>
    <xf borderId="7" fillId="0" fontId="26" numFmtId="2" xfId="0" applyAlignment="1" applyBorder="1" applyFont="1" applyNumberFormat="1">
      <alignment horizontal="left" shrinkToFit="0" vertical="top" wrapText="1"/>
    </xf>
    <xf borderId="7" fillId="15" fontId="26" numFmtId="2" xfId="0" applyAlignment="1" applyBorder="1" applyFill="1" applyFont="1" applyNumberFormat="1">
      <alignment horizontal="left" shrinkToFit="0" vertical="top" wrapText="1"/>
    </xf>
    <xf borderId="1" fillId="18" fontId="37" numFmtId="0" xfId="0" applyAlignment="1" applyBorder="1" applyFill="1" applyFont="1">
      <alignment horizontal="left" shrinkToFit="0" vertical="top" wrapText="1"/>
    </xf>
    <xf borderId="0" fillId="17" fontId="38" numFmtId="0" xfId="0" applyAlignment="1" applyFill="1" applyFont="1">
      <alignment horizontal="left" shrinkToFit="0" vertical="top" wrapText="1"/>
    </xf>
    <xf borderId="1" fillId="18" fontId="39" numFmtId="0" xfId="0" applyAlignment="1" applyBorder="1" applyFill="1" applyFont="1">
      <alignment horizontal="left" shrinkToFit="0" vertical="top" wrapText="1"/>
    </xf>
    <xf borderId="8" fillId="7" fontId="19" numFmtId="0" xfId="0" applyAlignment="1" applyBorder="1" applyFill="1" applyFont="1">
      <alignment horizontal="left" shrinkToFit="0" vertical="top" wrapText="1"/>
    </xf>
    <xf borderId="0" fillId="19" fontId="40" numFmtId="0" xfId="0" applyAlignment="1" applyFill="1" applyFont="1">
      <alignment horizontal="left" readingOrder="0" shrinkToFit="0" vertical="top" wrapText="1"/>
    </xf>
    <xf borderId="1" fillId="7" fontId="26" numFmtId="0" xfId="0" applyAlignment="1" applyBorder="1" applyFill="1" applyFont="1">
      <alignment horizontal="left" shrinkToFit="0" vertical="top" wrapText="1"/>
    </xf>
    <xf borderId="0" fillId="0" fontId="8" numFmtId="0" xfId="0" applyAlignment="1" applyFont="1">
      <alignment horizontal="left" shrinkToFit="0" vertical="top" wrapText="1"/>
    </xf>
    <xf borderId="8" fillId="7" fontId="26" numFmtId="0" xfId="0" applyAlignment="1" applyBorder="1" applyFill="1" applyFont="1">
      <alignment horizontal="left" shrinkToFit="0" vertical="top" wrapText="1"/>
    </xf>
    <xf borderId="8" fillId="20" fontId="25" numFmtId="0" xfId="0" applyAlignment="1" applyBorder="1" applyFill="1" applyFont="1">
      <alignment horizontal="left" shrinkToFit="0" vertical="top" wrapText="1"/>
    </xf>
    <xf borderId="0" fillId="21" fontId="41" numFmtId="0" xfId="0" applyAlignment="1" applyFill="1" applyFont="1">
      <alignment horizontal="left" readingOrder="0" shrinkToFit="0" vertical="top" wrapText="1"/>
    </xf>
    <xf borderId="0" fillId="19" fontId="42" numFmtId="0" xfId="0" applyAlignment="1" applyFill="1" applyFont="1">
      <alignment horizontal="left" readingOrder="0" shrinkToFit="0" vertical="top" wrapText="1"/>
    </xf>
    <xf borderId="0" fillId="22" fontId="40" numFmtId="0" xfId="0" applyAlignment="1" applyFill="1" applyFont="1">
      <alignment horizontal="left" readingOrder="0" shrinkToFit="0" vertical="top" wrapText="1"/>
    </xf>
    <xf borderId="0" fillId="22" fontId="43" numFmtId="0" xfId="0" applyAlignment="1" applyFill="1" applyFont="1">
      <alignment horizontal="left" shrinkToFit="0" vertical="top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31">
    <tableStyle count="4" pivot="0" name="00_READ_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3_THREE_GOA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1_CLIENT_FI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3_THREE_GOAL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_WEALTH_CONTEX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1_CLIENT_FIL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3_THREE_GOAL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1_CLIENT_FILE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3_THREE_GOAL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_WEALTH_CONTEX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_WEALTH_CONTEXT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4_PORTFOL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4_PORTFOLI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5_VALID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5_VALIDATIO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5_VALIDATION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7_PERFORMANCE_RIS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7_PERFORMANCE_RISK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7_PERFORMANCE_RISK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6_CONSTRUC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6_CONSTRUCTION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08_RED_FLA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8_RED_FLAG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8_RED_FLAG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_CLIENT_MEET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_CLIENT_MEETING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_CLIENT_MEETING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_CLIENT_MEETING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2_MONITOR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2_MONITORING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2_MONITORING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Portfolio by economic bucket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'06_CONSTRUCTION'!$B$5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'06_CONSTRUCTION'!$A$6:$A$10</c:f>
            </c:strRef>
          </c:cat>
          <c:val>
            <c:numRef>
              <c:f>'06_CONSTRUCTION'!$B$6:$B$10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Largest economic exposures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'06_CONSTRUCTION'!$B$22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'06_CONSTRUCTION'!$A$23:$A$30</c:f>
            </c:strRef>
          </c:cat>
          <c:val>
            <c:numRef>
              <c:f>'06_CONSTRUCTION'!$B$23:$B$30</c:f>
              <c:numCache/>
            </c:numRef>
          </c:val>
        </c:ser>
        <c:axId val="1802816113"/>
        <c:axId val="1294782349"/>
      </c:barChart>
      <c:catAx>
        <c:axId val="18028161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₹ lakh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94782349"/>
      </c:catAx>
      <c:valAx>
        <c:axId val="12947823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Exposure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02816113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</xdr:colOff>
      <xdr:row>4</xdr:row>
      <xdr:rowOff>28575</xdr:rowOff>
    </xdr:from>
    <xdr:ext cx="3590925" cy="2514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21</xdr:row>
      <xdr:rowOff>19050</xdr:rowOff>
    </xdr:from>
    <xdr:ext cx="3952875" cy="28765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1:C23" displayName="StoryMap" name="StoryMap" id="1">
  <tableColumns count="3">
    <tableColumn name="Step" id="1"/>
    <tableColumn name="Sheet" id="2"/>
    <tableColumn name="Question it answers" id="3"/>
  </tableColumns>
  <tableStyleInfo name="00_READ_ME-style" showColumnStripes="0" showFirstColumn="1" showLastColumn="1" showRowStripes="1"/>
</table>
</file>

<file path=xl/tables/table2.xml><?xml version="1.0" encoding="utf-8"?>
<table xmlns="http://schemas.openxmlformats.org/spreadsheetml/2006/main" ref="A5:B11" displayName="ClientSnapshot" name="ClientSnapshot" id="2">
  <tableColumns count="2">
    <tableColumn name="Field" id="1"/>
    <tableColumn name="Working value" id="2"/>
  </tableColumns>
  <tableStyleInfo name="01_CLIENT_FILE-style" showColumnStripes="0" showFirstColumn="1" showLastColumn="1" showRowStripes="1"/>
</table>
</file>

<file path=xl/tables/table3.xml><?xml version="1.0" encoding="utf-8"?>
<table xmlns="http://schemas.openxmlformats.org/spreadsheetml/2006/main" ref="A14:B19" displayName="InboundBrief" name="InboundBrief" id="6">
  <tableColumns count="2">
    <tableColumn name="Question" id="1"/>
    <tableColumn name="Working answer / analysis" id="2"/>
  </tableColumns>
  <tableStyleInfo name="01_CLIENT_FILE-style 2" showColumnStripes="0" showFirstColumn="1" showLastColumn="1" showRowStripes="1"/>
</table>
</file>

<file path=xl/tables/table4.xml><?xml version="1.0" encoding="utf-8"?>
<table xmlns="http://schemas.openxmlformats.org/spreadsheetml/2006/main" ref="A22:C27" displayName="IntakeChecklist" name="IntakeChecklist" id="8">
  <tableColumns count="3">
    <tableColumn name="Order" id="1"/>
    <tableColumn name="Question" id="2"/>
    <tableColumn name="Answer" id="3"/>
  </tableColumns>
  <tableStyleInfo name="01_CLIENT_FILE-style 3" showColumnStripes="0" showFirstColumn="1" showLastColumn="1" showRowStripes="1"/>
</table>
</file>

<file path=xl/tables/table5.xml><?xml version="1.0" encoding="utf-8"?>
<table xmlns="http://schemas.openxmlformats.org/spreadsheetml/2006/main" ref="A5:C13" displayName="WealthContext" name="WealthContext" id="4">
  <tableColumns count="3">
    <tableColumn name="Factor" id="1"/>
    <tableColumn name="Working assumption" id="2"/>
    <tableColumn name="Why it matters" id="3"/>
  </tableColumns>
  <tableStyleInfo name="02_WEALTH_CONTEXT-style" showColumnStripes="0" showFirstColumn="1" showLastColumn="1" showRowStripes="1"/>
</table>
</file>

<file path=xl/tables/table6.xml><?xml version="1.0" encoding="utf-8"?>
<table xmlns="http://schemas.openxmlformats.org/spreadsheetml/2006/main" ref="A17:B21" displayName="WealthInsights" name="WealthInsights" id="9">
  <tableColumns count="2">
    <tableColumn name="Observation" id="1"/>
    <tableColumn name="Analysis / consequence" id="2"/>
  </tableColumns>
  <tableStyleInfo name="02_WEALTH_CONTEXT-style 2" showColumnStripes="0" showFirstColumn="1" showLastColumn="1" showRowStripes="1"/>
</table>
</file>

<file path=xl/tables/table7.xml><?xml version="1.0" encoding="utf-8"?>
<table xmlns="http://schemas.openxmlformats.org/spreadsheetml/2006/main" ref="A24:C30" displayName="DataRequests" name="DataRequests" id="11">
  <tableColumns count="3">
    <tableColumn name="Information" id="1"/>
    <tableColumn name="What to collect" id="2"/>
    <tableColumn name="Why it changes advice" id="3"/>
  </tableColumns>
  <tableStyleInfo name="02_WEALTH_CONTEXT-style 3" showColumnStripes="0" showFirstColumn="1" showLastColumn="1" showRowStripes="1"/>
</table>
</file>

<file path=xl/tables/table8.xml><?xml version="1.0" encoding="utf-8"?>
<table xmlns="http://schemas.openxmlformats.org/spreadsheetml/2006/main" ref="A5:B13" displayName="Goal1" name="Goal1" id="3">
  <tableColumns count="2">
    <tableColumn name="Dimension" id="1"/>
    <tableColumn name="Analysis / required action" id="2"/>
  </tableColumns>
  <tableStyleInfo name="03_THREE_GOALS-style" showColumnStripes="0" showFirstColumn="1" showLastColumn="1" showRowStripes="1"/>
</table>
</file>

<file path=xl/tables/table9.xml><?xml version="1.0" encoding="utf-8"?>
<table xmlns="http://schemas.openxmlformats.org/spreadsheetml/2006/main" ref="A16:B24" displayName="Goal2" name="Goal2" id="5">
  <tableColumns count="2">
    <tableColumn name="Dimension" id="1"/>
    <tableColumn name="Analysis / required action" id="2"/>
  </tableColumns>
  <tableStyleInfo name="03_THREE_GOALS-style 2" showColumnStripes="0" showFirstColumn="1" showLastColumn="1" showRowStripes="1"/>
</table>
</file>

<file path=xl/tables/table10.xml><?xml version="1.0" encoding="utf-8"?>
<table xmlns="http://schemas.openxmlformats.org/spreadsheetml/2006/main" ref="A27:B35" displayName="Goal3" name="Goal3" id="7">
  <tableColumns count="2">
    <tableColumn name="Dimension" id="1"/>
    <tableColumn name="Analysis / required action" id="2"/>
  </tableColumns>
  <tableStyleInfo name="03_THREE_GOALS-style 3" showColumnStripes="0" showFirstColumn="1" showLastColumn="1" showRowStripes="1"/>
</table>
</file>

<file path=xl/tables/table11.xml><?xml version="1.0" encoding="utf-8"?>
<table xmlns="http://schemas.openxmlformats.org/spreadsheetml/2006/main" ref="A38:D43" displayName="GoalCompare" name="GoalCompare" id="10">
  <tableColumns count="4">
    <tableColumn name="Decision lens" id="1"/>
    <tableColumn name="Goal 1" id="2"/>
    <tableColumn name="Goal 2" id="3"/>
    <tableColumn name="Goal 3" id="4"/>
  </tableColumns>
  <tableStyleInfo name="03_THREE_GOALS-style 4" showColumnStripes="0" showFirstColumn="1" showLastColumn="1" showRowStripes="1"/>
</table>
</file>

<file path=xl/tables/table12.xml><?xml version="1.0" encoding="utf-8"?>
<table xmlns="http://schemas.openxmlformats.org/spreadsheetml/2006/main" ref="A6:L27" displayName="Holdings" name="Holdings" id="12">
  <tableColumns count="12">
    <tableColumn name="Ticker / Asset" id="1"/>
    <tableColumn name="Instrument" id="2"/>
    <tableColumn name="Asset Class" id="3"/>
    <tableColumn name="Economic Exposure" id="4"/>
    <tableColumn name="Geography" id="5"/>
    <tableColumn name="Value (₹L)" id="6"/>
    <tableColumn name="Weight" id="7"/>
    <tableColumn name="12M Return" id="8"/>
    <tableColumn name="3Y CAGR" id="9"/>
    <tableColumn name="3Y Volatility" id="10"/>
    <tableColumn name="Role in Portfolio" id="11"/>
    <tableColumn name="Initial Question" id="12"/>
  </tableColumns>
  <tableStyleInfo name="04_PORTFOLIO-style" showColumnStripes="0" showFirstColumn="1" showLastColumn="1" showRowStripes="1"/>
</table>
</file>

<file path=xl/tables/table13.xml><?xml version="1.0" encoding="utf-8"?>
<table xmlns="http://schemas.openxmlformats.org/spreadsheetml/2006/main" ref="A31:B36" displayName="InventoryRead" name="InventoryRead" id="13">
  <tableColumns count="2">
    <tableColumn name="Observation" id="1"/>
    <tableColumn name="What it tells us / why it matters" id="2"/>
  </tableColumns>
  <tableStyleInfo name="04_PORTFOLIO-style 2" showColumnStripes="0" showFirstColumn="1" showLastColumn="1" showRowStripes="1"/>
</table>
</file>

<file path=xl/tables/table14.xml><?xml version="1.0" encoding="utf-8"?>
<table xmlns="http://schemas.openxmlformats.org/spreadsheetml/2006/main" ref="A6:G13" displayName="ValidationLog" name="ValidationLog" id="14">
  <tableColumns count="7">
    <tableColumn name="Control" id="1"/>
    <tableColumn name="Source field" id="2"/>
    <tableColumn name="Source value" id="3"/>
    <tableColumn name="Analyst field" id="4"/>
    <tableColumn name="Analyst value" id="5"/>
    <tableColumn name="Status" id="6"/>
    <tableColumn name="Why it matters" id="7"/>
  </tableColumns>
  <tableStyleInfo name="05_VALIDATION-style" showColumnStripes="0" showFirstColumn="1" showLastColumn="1" showRowStripes="1"/>
</table>
</file>

<file path=xl/tables/table15.xml><?xml version="1.0" encoding="utf-8"?>
<table xmlns="http://schemas.openxmlformats.org/spreadsheetml/2006/main" ref="A16:B21" displayName="ValidationStory" name="ValidationStory" id="15">
  <tableColumns count="2">
    <tableColumn name="Checkpoint" id="1"/>
    <tableColumn name="What the analyst concludes" id="2"/>
  </tableColumns>
  <tableStyleInfo name="05_VALIDATION-style 2" showColumnStripes="0" showFirstColumn="1" showLastColumn="1" showRowStripes="1"/>
</table>
</file>

<file path=xl/tables/table16.xml><?xml version="1.0" encoding="utf-8"?>
<table xmlns="http://schemas.openxmlformats.org/spreadsheetml/2006/main" ref="A24:C30" displayName="ValidationRequests" name="ValidationRequests" id="16">
  <tableColumns count="3">
    <tableColumn name="Source" id="1"/>
    <tableColumn name="Fields needed" id="2"/>
    <tableColumn name="Decision unlocked" id="3"/>
  </tableColumns>
  <tableStyleInfo name="05_VALIDATION-style 3" showColumnStripes="0" showFirstColumn="1" showLastColumn="1" showRowStripes="1"/>
</table>
</file>

<file path=xl/tables/table17.xml><?xml version="1.0" encoding="utf-8"?>
<table xmlns="http://schemas.openxmlformats.org/spreadsheetml/2006/main" ref="A5:D10" displayName="AssetAllocation" name="AssetAllocation" id="20">
  <tableColumns count="4">
    <tableColumn name="Economic bucket" id="1"/>
    <tableColumn name="Value (₹L)" id="2"/>
    <tableColumn name="Weight" id="3"/>
    <tableColumn name="Portfolio role" id="4"/>
  </tableColumns>
  <tableStyleInfo name="06_CONSTRUCTION-style" showColumnStripes="0" showFirstColumn="1" showLastColumn="1" showRowStripes="1"/>
</table>
</file>

<file path=xl/tables/table18.xml><?xml version="1.0" encoding="utf-8"?>
<table xmlns="http://schemas.openxmlformats.org/spreadsheetml/2006/main" ref="A38:B43" displayName="Table_1" name="Table_1" id="21">
  <tableColumns count="2">
    <tableColumn name="Finding" id="1"/>
    <tableColumn name="Why it matters / what it changes" id="2"/>
  </tableColumns>
  <tableStyleInfo name="06_CONSTRUCTION-style 2" showColumnStripes="0" showFirstColumn="1" showLastColumn="1" showRowStripes="1"/>
</table>
</file>

<file path=xl/tables/table19.xml><?xml version="1.0" encoding="utf-8"?>
<table xmlns="http://schemas.openxmlformats.org/spreadsheetml/2006/main" ref="A5:G26" displayName="PerfContrib" name="PerfContrib" id="17">
  <tableColumns count="7">
    <tableColumn name="Holding" id="1"/>
    <tableColumn name="Value ₹L" id="2"/>
    <tableColumn name="Weight" id="3"/>
    <tableColumn name="12M return" id="4"/>
    <tableColumn name="Weight × return" id="5"/>
    <tableColumn name="3Y CAGR" id="6"/>
    <tableColumn name="3Y vol" id="7"/>
  </tableColumns>
  <tableStyleInfo name="07_PERFORMANCE_RISK-style" showColumnStripes="0" showFirstColumn="1" showLastColumn="1" showRowStripes="1"/>
</table>
</file>

<file path=xl/tables/table20.xml><?xml version="1.0" encoding="utf-8"?>
<table xmlns="http://schemas.openxmlformats.org/spreadsheetml/2006/main" ref="A36:E40" displayName="StressTests" name="StressTests" id="18">
  <tableColumns count="5">
    <tableColumn name="Scenario" id="1"/>
    <tableColumn name="Exposure" id="2"/>
    <tableColumn name="Portfolio weight" id="3"/>
    <tableColumn name="Shock" id="4"/>
    <tableColumn name="Illustrative portfolio impact" id="5"/>
  </tableColumns>
  <tableStyleInfo name="07_PERFORMANCE_RISK-style 2" showColumnStripes="0" showFirstColumn="1" showLastColumn="1" showRowStripes="1"/>
</table>
</file>

<file path=xl/tables/table21.xml><?xml version="1.0" encoding="utf-8"?>
<table xmlns="http://schemas.openxmlformats.org/spreadsheetml/2006/main" ref="A44:B49" displayName="RiskInsights" name="RiskInsights" id="19">
  <tableColumns count="2">
    <tableColumn name="Finding" id="1"/>
    <tableColumn name="Interpretation / next decision" id="2"/>
  </tableColumns>
  <tableStyleInfo name="07_PERFORMANCE_RISK-style 3" showColumnStripes="0" showFirstColumn="1" showLastColumn="1" showRowStripes="1"/>
</table>
</file>

<file path=xl/tables/table22.xml><?xml version="1.0" encoding="utf-8"?>
<table xmlns="http://schemas.openxmlformats.org/spreadsheetml/2006/main" ref="A6:H12" displayName="RedFlags" name="RedFlags" id="22">
  <tableColumns count="8">
    <tableColumn name="ID" id="1"/>
    <tableColumn name="Risk type" id="2"/>
    <tableColumn name="Where found" id="3"/>
    <tableColumn name="Evidence" id="4"/>
    <tableColumn name="How we found it" id="5"/>
    <tableColumn name="Why it matters" id="6"/>
    <tableColumn name="Possible response" id="7"/>
    <tableColumn name="Goal sensitivity" id="8"/>
  </tableColumns>
  <tableStyleInfo name="08_RED_FLAGS-style" showColumnStripes="0" showFirstColumn="1" showLastColumn="1" showRowStripes="1"/>
</table>
</file>

<file path=xl/tables/table23.xml><?xml version="1.0" encoding="utf-8"?>
<table xmlns="http://schemas.openxmlformats.org/spreadsheetml/2006/main" ref="A16:B22" displayName="RedFlagMethod" name="RedFlagMethod" id="23">
  <tableColumns count="2">
    <tableColumn name="Stage" id="1"/>
    <tableColumn name="What happens" id="2"/>
  </tableColumns>
  <tableStyleInfo name="08_RED_FLAGS-style 2" showColumnStripes="0" showFirstColumn="1" showLastColumn="1" showRowStripes="1"/>
</table>
</file>

<file path=xl/tables/table24.xml><?xml version="1.0" encoding="utf-8"?>
<table xmlns="http://schemas.openxmlformats.org/spreadsheetml/2006/main" ref="A25:B28" displayName="TopFlags" name="TopFlags" id="24">
  <tableColumns count="2">
    <tableColumn name="Priority finding" id="1"/>
    <tableColumn name="Why it deserves attention" id="2"/>
  </tableColumns>
  <tableStyleInfo name="08_RED_FLAGS-style 3" showColumnStripes="0" showFirstColumn="1" showLastColumn="1" showRowStripes="1"/>
</table>
</file>

<file path=xl/tables/table25.xml><?xml version="1.0" encoding="utf-8"?>
<table xmlns="http://schemas.openxmlformats.org/spreadsheetml/2006/main" ref="A5:C12" displayName="MeetingFlow" name="MeetingFlow" id="25">
  <tableColumns count="3">
    <tableColumn name="Time" id="1"/>
    <tableColumn name="Purpose" id="2"/>
    <tableColumn name="What the advisor actually does" id="3"/>
  </tableColumns>
  <tableStyleInfo name="11_CLIENT_MEETING-style" showColumnStripes="0" showFirstColumn="1" showLastColumn="1" showRowStripes="1"/>
</table>
</file>

<file path=xl/tables/table26.xml><?xml version="1.0" encoding="utf-8"?>
<table xmlns="http://schemas.openxmlformats.org/spreadsheetml/2006/main" ref="A15:B18" displayName="ClientScripts" name="ClientScripts" id="26">
  <tableColumns count="2">
    <tableColumn name="Finding" id="1"/>
    <tableColumn name="Client-friendly explanation" id="2"/>
  </tableColumns>
  <tableStyleInfo name="11_CLIENT_MEETING-style 2" showColumnStripes="0" showFirstColumn="1" showLastColumn="1" showRowStripes="1"/>
</table>
</file>

<file path=xl/tables/table27.xml><?xml version="1.0" encoding="utf-8"?>
<table xmlns="http://schemas.openxmlformats.org/spreadsheetml/2006/main" ref="A22:B26" displayName="Objections" name="Objections" id="27">
  <tableColumns count="2">
    <tableColumn name="Likely objection" id="1"/>
    <tableColumn name="Response" id="2"/>
  </tableColumns>
  <tableStyleInfo name="11_CLIENT_MEETING-style 3" showColumnStripes="0" showFirstColumn="1" showLastColumn="1" showRowStripes="1"/>
</table>
</file>

<file path=xl/tables/table28.xml><?xml version="1.0" encoding="utf-8"?>
<table xmlns="http://schemas.openxmlformats.org/spreadsheetml/2006/main" ref="A30:B37" displayName="Conversion" name="Conversion" id="28">
  <tableColumns count="2">
    <tableColumn name="Checkpoint" id="1"/>
    <tableColumn name="Status" id="2"/>
  </tableColumns>
  <tableStyleInfo name="11_CLIENT_MEETING-style 4" showColumnStripes="0" showFirstColumn="1" showLastColumn="1" showRowStripes="1"/>
</table>
</file>

<file path=xl/tables/table29.xml><?xml version="1.0" encoding="utf-8"?>
<table xmlns="http://schemas.openxmlformats.org/spreadsheetml/2006/main" ref="A4:D12" displayName="Monitoring" name="Monitoring" id="29">
  <tableColumns count="4">
    <tableColumn name="Metric" id="1"/>
    <tableColumn name="What we watch" id="2"/>
    <tableColumn name="Cadence" id="3"/>
    <tableColumn name="Trigger / response" id="4"/>
  </tableColumns>
  <tableStyleInfo name="12_MONITORING-style" showColumnStripes="0" showFirstColumn="1" showLastColumn="1" showRowStripes="1"/>
</table>
</file>

<file path=xl/tables/table30.xml><?xml version="1.0" encoding="utf-8"?>
<table xmlns="http://schemas.openxmlformats.org/spreadsheetml/2006/main" ref="A15:D20" displayName="MonthlyReview" name="MonthlyReview" id="30">
  <tableColumns count="4">
    <tableColumn name="Area" id="1"/>
    <tableColumn name="Current case read" id="2"/>
    <tableColumn name="Interpretation" id="3"/>
    <tableColumn name="Action" id="4"/>
  </tableColumns>
  <tableStyleInfo name="12_MONITORING-style 2" showColumnStripes="0" showFirstColumn="1" showLastColumn="1" showRowStripes="1"/>
</table>
</file>

<file path=xl/tables/table31.xml><?xml version="1.0" encoding="utf-8"?>
<table xmlns="http://schemas.openxmlformats.org/spreadsheetml/2006/main" ref="A24:B29" displayName="MonitoringEvents" name="MonitoringEvents" id="31">
  <tableColumns count="2">
    <tableColumn name="Trigger" id="1"/>
    <tableColumn name="Advisor response" id="2"/>
  </tableColumns>
  <tableStyleInfo name="12_MONITORING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rEC15tWo_oU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rEC15tWo_oU" TargetMode="External"/><Relationship Id="rId2" Type="http://schemas.openxmlformats.org/officeDocument/2006/relationships/drawing" Target="../drawings/drawing2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11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Relationship Id="rId8" Type="http://schemas.openxmlformats.org/officeDocument/2006/relationships/table" Target="../tables/table10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12.xml"/><Relationship Id="rId7" Type="http://schemas.openxmlformats.org/officeDocument/2006/relationships/table" Target="../tables/table1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14.xml"/><Relationship Id="rId6" Type="http://schemas.openxmlformats.org/officeDocument/2006/relationships/table" Target="../tables/table15.xml"/><Relationship Id="rId7" Type="http://schemas.openxmlformats.org/officeDocument/2006/relationships/table" Target="../tables/table1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7.xml"/><Relationship Id="rId5" Type="http://schemas.openxmlformats.org/officeDocument/2006/relationships/table" Target="../tables/table1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5" Type="http://schemas.openxmlformats.org/officeDocument/2006/relationships/table" Target="../tables/table19.xml"/><Relationship Id="rId6" Type="http://schemas.openxmlformats.org/officeDocument/2006/relationships/table" Target="../tables/table20.xml"/><Relationship Id="rId7" Type="http://schemas.openxmlformats.org/officeDocument/2006/relationships/table" Target="../tables/table2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5" Type="http://schemas.openxmlformats.org/officeDocument/2006/relationships/table" Target="../tables/table22.xml"/><Relationship Id="rId6" Type="http://schemas.openxmlformats.org/officeDocument/2006/relationships/table" Target="../tables/table23.xml"/><Relationship Id="rId7" Type="http://schemas.openxmlformats.org/officeDocument/2006/relationships/table" Target="../tables/table24.xm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ec.gov/Archives/edgar/data/1100663/000119312525171581/d925155d497k.htm" TargetMode="External"/><Relationship Id="rId22" Type="http://schemas.openxmlformats.org/officeDocument/2006/relationships/hyperlink" Target="https://www.invesco.com/us-rest/contentdetail?contentId=3a48e01e98630410VgnVCM10000046f1bf0aRCRD" TargetMode="External"/><Relationship Id="rId21" Type="http://schemas.openxmlformats.org/officeDocument/2006/relationships/hyperlink" Target="https://www.invesco.com/us-rest/contentdetail?contentId=3a48e01e98630410VgnVCM10000046f1bf0aRCRD" TargetMode="External"/><Relationship Id="rId24" Type="http://schemas.openxmlformats.org/officeDocument/2006/relationships/hyperlink" Target="https://amc.ppfas.com/downloads/digital-factsheet/2025/june-2025/outlook.php" TargetMode="External"/><Relationship Id="rId23" Type="http://schemas.openxmlformats.org/officeDocument/2006/relationships/hyperlink" Target="https://amc.ppfas.com/downloads/digital-factsheet/2025/june-2025/outlook.php" TargetMode="External"/><Relationship Id="rId1" Type="http://schemas.openxmlformats.org/officeDocument/2006/relationships/hyperlink" Target="https://amc.ppfas.com/downloads/digital-factsheet/2025/june-2025/outlook.php" TargetMode="External"/><Relationship Id="rId2" Type="http://schemas.openxmlformats.org/officeDocument/2006/relationships/hyperlink" Target="https://amc.ppfas.com/downloads/digital-factsheet/2025/june-2025/outlook.php" TargetMode="External"/><Relationship Id="rId3" Type="http://schemas.openxmlformats.org/officeDocument/2006/relationships/hyperlink" Target="https://digitalfactsheet.icicipruamc.com/passive/pdf/passive-fund-factsheet-june-2025.pdf" TargetMode="External"/><Relationship Id="rId4" Type="http://schemas.openxmlformats.org/officeDocument/2006/relationships/hyperlink" Target="https://www.tatamutualfund.com/system/files/2025-07/TataMF%20Factsheet-June%202025.pdf" TargetMode="External"/><Relationship Id="rId9" Type="http://schemas.openxmlformats.org/officeDocument/2006/relationships/hyperlink" Target="https://www.barodabnpparibasmf.in/efactsheet/Jun2025/Innerpages/Gold-ETF.html" TargetMode="External"/><Relationship Id="rId26" Type="http://schemas.openxmlformats.org/officeDocument/2006/relationships/hyperlink" Target="https://intelligence.crisil.com/content/dam/crisilcom2-0/our-analysis/views-and-commentaries/rateview/2025/06/rateview-june-2025.pdf" TargetMode="External"/><Relationship Id="rId25" Type="http://schemas.openxmlformats.org/officeDocument/2006/relationships/hyperlink" Target="https://amc.ppfas.com/downloads/digital-factsheet/2025/june-2025/outlook.php" TargetMode="External"/><Relationship Id="rId28" Type="http://schemas.openxmlformats.org/officeDocument/2006/relationships/hyperlink" Target="https://intelligence.crisil.com/content/dam/crisilcom2-0/our-analysis/views-and-commentaries/rateview/2025/06/rateview-june-2025.pdf" TargetMode="External"/><Relationship Id="rId27" Type="http://schemas.openxmlformats.org/officeDocument/2006/relationships/hyperlink" Target="https://www.barodabnpparibasmf.in/efactsheet/Jun2025/Innerpages/Gold-ETF.html" TargetMode="External"/><Relationship Id="rId5" Type="http://schemas.openxmlformats.org/officeDocument/2006/relationships/hyperlink" Target="https://www.tatamutualfund.com/system/files/2025-07/TataMF%20Factsheet-June%202025.pdf" TargetMode="External"/><Relationship Id="rId6" Type="http://schemas.openxmlformats.org/officeDocument/2006/relationships/hyperlink" Target="https://www.invesco.com/us-rest/contentdetail?contentId=3a48e01e98630410VgnVCM10000046f1bf0aRCRD" TargetMode="External"/><Relationship Id="rId29" Type="http://schemas.openxmlformats.org/officeDocument/2006/relationships/drawing" Target="../drawings/drawing10.xml"/><Relationship Id="rId7" Type="http://schemas.openxmlformats.org/officeDocument/2006/relationships/hyperlink" Target="https://www.invesco.com/us-rest/contentdetail?contentId=3a48e01e98630410VgnVCM10000046f1bf0aRCRD" TargetMode="External"/><Relationship Id="rId8" Type="http://schemas.openxmlformats.org/officeDocument/2006/relationships/hyperlink" Target="https://sprott.com/insights/gold-and-silver-bull-run-continues/" TargetMode="External"/><Relationship Id="rId11" Type="http://schemas.openxmlformats.org/officeDocument/2006/relationships/hyperlink" Target="https://intelligence.crisil.com/content/dam/crisilcom2-0/our-analysis/views-and-commentaries/rateview/2025/06/rateview-june-2025.pdf" TargetMode="External"/><Relationship Id="rId10" Type="http://schemas.openxmlformats.org/officeDocument/2006/relationships/hyperlink" Target="https://sprott.com/insights/gold-and-silver-bull-run-continues/" TargetMode="External"/><Relationship Id="rId13" Type="http://schemas.openxmlformats.org/officeDocument/2006/relationships/hyperlink" Target="https://irp.cdn-website.com/1fa14e81/files/uploaded/Fall-2025-BOT-Board-Book-c82661ae.pdf" TargetMode="External"/><Relationship Id="rId12" Type="http://schemas.openxmlformats.org/officeDocument/2006/relationships/hyperlink" Target="https://www.sec.gov/Archives/edgar/data/1100663/000119312525171581/d925155d497k.htm" TargetMode="External"/><Relationship Id="rId15" Type="http://schemas.openxmlformats.org/officeDocument/2006/relationships/hyperlink" Target="https://www.vaneck.com/q3-2025-outlook-in-the-middle-of-the-3-reckoning-focus-on-what-we-can-see.pdf" TargetMode="External"/><Relationship Id="rId14" Type="http://schemas.openxmlformats.org/officeDocument/2006/relationships/hyperlink" Target="https://www.invesco.com/us-rest/contentdetail?contentId=3a48e01e98630410VgnVCM10000046f1bf0aRCRD" TargetMode="External"/><Relationship Id="rId17" Type="http://schemas.openxmlformats.org/officeDocument/2006/relationships/hyperlink" Target="https://www.daughtersofpenelope.org/pdfs/Yearbook_Web.pdf" TargetMode="External"/><Relationship Id="rId16" Type="http://schemas.openxmlformats.org/officeDocument/2006/relationships/hyperlink" Target="https://www.invesco.com/us-rest/contentdetail?contentId=3a48e01e98630410VgnVCM10000046f1bf0aRCRD" TargetMode="External"/><Relationship Id="rId19" Type="http://schemas.openxmlformats.org/officeDocument/2006/relationships/hyperlink" Target="https://go.ycharts.com/hubfs/Fund_Flows_Reports/Fund_Flow_Report_July_2025.pdf" TargetMode="External"/><Relationship Id="rId18" Type="http://schemas.openxmlformats.org/officeDocument/2006/relationships/hyperlink" Target="https://www.daughtersofpenelope.org/pdfs/Yearbook_Web.pdf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9" Type="http://schemas.openxmlformats.org/officeDocument/2006/relationships/table" Target="../tables/table28.xml"/><Relationship Id="rId6" Type="http://schemas.openxmlformats.org/officeDocument/2006/relationships/table" Target="../tables/table25.xml"/><Relationship Id="rId7" Type="http://schemas.openxmlformats.org/officeDocument/2006/relationships/table" Target="../tables/table26.xml"/><Relationship Id="rId8" Type="http://schemas.openxmlformats.org/officeDocument/2006/relationships/table" Target="../tables/table27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5" Type="http://schemas.openxmlformats.org/officeDocument/2006/relationships/table" Target="../tables/table29.xml"/><Relationship Id="rId6" Type="http://schemas.openxmlformats.org/officeDocument/2006/relationships/table" Target="../tables/table30.xml"/><Relationship Id="rId7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24D"/>
    <pageSetUpPr fitToPage="1"/>
  </sheetPr>
  <sheetViews>
    <sheetView showGridLines="0" workbookViewId="0"/>
  </sheetViews>
  <sheetFormatPr customHeight="1" defaultColWidth="14.43" defaultRowHeight="15.0"/>
  <cols>
    <col customWidth="1" min="1" max="1" width="21.0"/>
    <col customWidth="1" min="2" max="2" width="175.71"/>
    <col customWidth="1" min="3" max="3" width="82.0"/>
    <col customWidth="1" min="4" max="4" width="28.0"/>
    <col customWidth="1" min="5" max="12" width="24.0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51.75" customHeight="1">
      <c r="A2" s="3" t="s">
        <v>6</v>
      </c>
    </row>
    <row r="3" ht="30.0" customHeight="1">
      <c r="A3" s="5" t="s">
        <v>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ht="24.0" customHeight="1">
      <c r="A5" s="7" t="s">
        <v>11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ht="90.0" customHeight="1">
      <c r="A6" s="8" t="s">
        <v>13</v>
      </c>
      <c r="B6" s="9" t="s">
        <v>15</v>
      </c>
    </row>
    <row r="7" ht="90.0" customHeight="1">
      <c r="A7" s="8" t="s">
        <v>16</v>
      </c>
      <c r="B7" s="9" t="s">
        <v>18</v>
      </c>
    </row>
    <row r="8" ht="57.75" customHeight="1">
      <c r="A8" s="8" t="s">
        <v>19</v>
      </c>
      <c r="B8" s="9" t="s">
        <v>20</v>
      </c>
    </row>
    <row r="10" ht="24.0" customHeight="1">
      <c r="A10" s="6" t="s">
        <v>21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ht="27.75" customHeight="1">
      <c r="A11" s="10" t="s">
        <v>24</v>
      </c>
      <c r="B11" s="10" t="s">
        <v>28</v>
      </c>
      <c r="C11" s="10" t="s">
        <v>31</v>
      </c>
    </row>
    <row r="12" ht="37.5" customHeight="1">
      <c r="A12" s="11" t="s">
        <v>34</v>
      </c>
      <c r="B12" s="11" t="s">
        <v>38</v>
      </c>
      <c r="C12" s="11" t="s">
        <v>40</v>
      </c>
    </row>
    <row r="13" ht="37.5" customHeight="1">
      <c r="A13" s="11" t="s">
        <v>42</v>
      </c>
      <c r="B13" s="11" t="s">
        <v>45</v>
      </c>
      <c r="C13" s="11" t="s">
        <v>47</v>
      </c>
    </row>
    <row r="14" ht="51.75" customHeight="1">
      <c r="A14" s="11" t="s">
        <v>50</v>
      </c>
      <c r="B14" s="11" t="s">
        <v>54</v>
      </c>
      <c r="C14" s="11" t="s">
        <v>55</v>
      </c>
    </row>
    <row r="15" ht="24.75" customHeight="1">
      <c r="A15" s="11" t="s">
        <v>59</v>
      </c>
      <c r="B15" s="11" t="s">
        <v>60</v>
      </c>
      <c r="C15" s="11" t="s">
        <v>63</v>
      </c>
    </row>
    <row r="16" ht="24.75" customHeight="1">
      <c r="A16" s="11" t="s">
        <v>65</v>
      </c>
      <c r="B16" s="11" t="s">
        <v>68</v>
      </c>
      <c r="C16" s="11" t="s">
        <v>71</v>
      </c>
    </row>
    <row r="17" ht="37.5" customHeight="1">
      <c r="A17" s="11" t="s">
        <v>72</v>
      </c>
      <c r="B17" s="11" t="s">
        <v>73</v>
      </c>
      <c r="C17" s="11" t="s">
        <v>74</v>
      </c>
    </row>
    <row r="18" ht="24.75" customHeight="1">
      <c r="A18" s="11" t="s">
        <v>76</v>
      </c>
      <c r="B18" s="11" t="s">
        <v>77</v>
      </c>
      <c r="C18" s="11" t="s">
        <v>78</v>
      </c>
    </row>
    <row r="19" ht="37.5" customHeight="1">
      <c r="A19" s="11" t="s">
        <v>80</v>
      </c>
      <c r="B19" s="11" t="s">
        <v>83</v>
      </c>
      <c r="C19" s="11" t="s">
        <v>84</v>
      </c>
    </row>
    <row r="20" ht="37.5" customHeight="1">
      <c r="A20" s="11" t="s">
        <v>88</v>
      </c>
      <c r="B20" s="11" t="s">
        <v>90</v>
      </c>
      <c r="C20" s="11" t="s">
        <v>92</v>
      </c>
    </row>
    <row r="21" ht="37.5" customHeight="1">
      <c r="A21" s="11" t="s">
        <v>94</v>
      </c>
      <c r="B21" s="11" t="s">
        <v>98</v>
      </c>
      <c r="C21" s="11" t="s">
        <v>99</v>
      </c>
    </row>
    <row r="22" ht="37.5" customHeight="1">
      <c r="A22" s="11" t="s">
        <v>100</v>
      </c>
      <c r="B22" s="11" t="s">
        <v>103</v>
      </c>
      <c r="C22" s="11" t="s">
        <v>104</v>
      </c>
    </row>
    <row r="23" ht="24.75" customHeight="1">
      <c r="A23" s="11" t="s">
        <v>107</v>
      </c>
      <c r="B23" s="11" t="s">
        <v>108</v>
      </c>
      <c r="C23" s="11" t="s">
        <v>110</v>
      </c>
    </row>
    <row r="24" ht="15.75" customHeight="1"/>
    <row r="25" ht="15.75" customHeight="1"/>
    <row r="26" ht="15.75" customHeight="1"/>
    <row r="27" ht="37.5" customHeight="1">
      <c r="A27" s="13" t="s">
        <v>114</v>
      </c>
    </row>
    <row r="28" ht="15.75" customHeight="1">
      <c r="A28" s="14" t="s">
        <v>116</v>
      </c>
      <c r="B28" s="14" t="s">
        <v>117</v>
      </c>
    </row>
    <row r="29" ht="15.75" customHeight="1">
      <c r="A29" s="14" t="s">
        <v>119</v>
      </c>
      <c r="B29" s="15" t="s">
        <v>121</v>
      </c>
    </row>
    <row r="30" ht="15.75" customHeight="1">
      <c r="A30" s="14" t="s">
        <v>130</v>
      </c>
      <c r="B30" s="14" t="s">
        <v>131</v>
      </c>
    </row>
    <row r="31" ht="15.75" customHeight="1">
      <c r="A31" s="14" t="s">
        <v>132</v>
      </c>
      <c r="B31" s="14" t="s">
        <v>134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4D3D499-93F8-442C-A738-E821857A69F7}" filter="1" showAutoFilter="1">
      <autoFilter ref="$A$11:$C$23"/>
    </customSheetView>
  </customSheetViews>
  <mergeCells count="10">
    <mergeCell ref="B29:L29"/>
    <mergeCell ref="B30:L30"/>
    <mergeCell ref="B31:L31"/>
    <mergeCell ref="A1:L1"/>
    <mergeCell ref="A2:L2"/>
    <mergeCell ref="A3:L3"/>
    <mergeCell ref="A5:L5"/>
    <mergeCell ref="A10:L10"/>
    <mergeCell ref="A27:L27"/>
    <mergeCell ref="B28:L28"/>
  </mergeCells>
  <hyperlinks>
    <hyperlink r:id="rId1" ref="B29"/>
  </hyperlinks>
  <printOptions/>
  <pageMargins bottom="0.4" footer="0.0" header="0.0" left="0.25" right="0.25" top="0.4"/>
  <pageSetup fitToHeight="0" orientation="landscape"/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75B5"/>
    <pageSetUpPr fitToPage="1"/>
  </sheetPr>
  <sheetViews>
    <sheetView showGridLines="0" workbookViewId="0"/>
  </sheetViews>
  <sheetFormatPr customHeight="1" defaultColWidth="14.43" defaultRowHeight="15.0"/>
  <cols>
    <col customWidth="1" min="1" max="1" width="24.14"/>
    <col customWidth="1" min="2" max="2" width="162.0"/>
    <col customWidth="1" min="3" max="3" width="73.0"/>
    <col customWidth="1" min="4" max="5" width="30.0"/>
    <col customWidth="1" min="6" max="12" width="24.0"/>
  </cols>
  <sheetData>
    <row r="1" ht="33.7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7.0" customHeight="1">
      <c r="A2" s="4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.0" customHeight="1">
      <c r="A4" s="6" t="s">
        <v>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27.75" customHeight="1">
      <c r="A5" s="10" t="s">
        <v>14</v>
      </c>
      <c r="B5" s="10" t="s">
        <v>23</v>
      </c>
    </row>
    <row r="6" ht="24.75" customHeight="1">
      <c r="A6" s="11" t="s">
        <v>26</v>
      </c>
      <c r="B6" s="11" t="s">
        <v>32</v>
      </c>
    </row>
    <row r="7" ht="24.75" customHeight="1">
      <c r="A7" s="11" t="s">
        <v>36</v>
      </c>
      <c r="B7" s="11" t="s">
        <v>39</v>
      </c>
    </row>
    <row r="8" ht="24.75" customHeight="1">
      <c r="A8" s="11" t="s">
        <v>43</v>
      </c>
      <c r="B8" s="11" t="s">
        <v>48</v>
      </c>
    </row>
    <row r="9" ht="24.75" customHeight="1">
      <c r="A9" s="11" t="s">
        <v>52</v>
      </c>
      <c r="B9" s="11" t="s">
        <v>56</v>
      </c>
    </row>
    <row r="10" ht="37.5" customHeight="1">
      <c r="A10" s="11" t="s">
        <v>62</v>
      </c>
      <c r="B10" s="12" t="s">
        <v>66</v>
      </c>
    </row>
    <row r="11" ht="69.75" customHeight="1">
      <c r="A11" s="11" t="s">
        <v>85</v>
      </c>
      <c r="B11" s="11" t="s">
        <v>89</v>
      </c>
    </row>
    <row r="13" ht="24.0" customHeight="1">
      <c r="A13" s="6" t="s">
        <v>95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ht="27.75" customHeight="1">
      <c r="A14" s="10" t="s">
        <v>102</v>
      </c>
      <c r="B14" s="10" t="s">
        <v>106</v>
      </c>
    </row>
    <row r="15" ht="69.75" customHeight="1">
      <c r="A15" s="11" t="s">
        <v>113</v>
      </c>
      <c r="B15" s="11" t="s">
        <v>122</v>
      </c>
    </row>
    <row r="16" ht="51.75" customHeight="1">
      <c r="A16" s="11" t="s">
        <v>125</v>
      </c>
      <c r="B16" s="11" t="s">
        <v>126</v>
      </c>
    </row>
    <row r="17" ht="69.75" customHeight="1">
      <c r="A17" s="11" t="s">
        <v>129</v>
      </c>
      <c r="B17" s="11" t="s">
        <v>135</v>
      </c>
    </row>
    <row r="18" ht="51.75" customHeight="1">
      <c r="A18" s="11" t="s">
        <v>137</v>
      </c>
      <c r="B18" s="11" t="s">
        <v>138</v>
      </c>
    </row>
    <row r="19" ht="51.75" customHeight="1">
      <c r="A19" s="11" t="s">
        <v>141</v>
      </c>
      <c r="B19" s="11" t="s">
        <v>142</v>
      </c>
    </row>
    <row r="20" ht="15.75" customHeight="1"/>
    <row r="21" ht="24.0" customHeight="1">
      <c r="A21" s="6" t="s">
        <v>144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ht="27.75" customHeight="1">
      <c r="A22" s="10" t="s">
        <v>148</v>
      </c>
      <c r="B22" s="10" t="s">
        <v>102</v>
      </c>
      <c r="C22" s="10" t="s">
        <v>151</v>
      </c>
    </row>
    <row r="23" ht="24.75" customHeight="1">
      <c r="A23" s="11" t="s">
        <v>153</v>
      </c>
      <c r="B23" s="11" t="s">
        <v>154</v>
      </c>
      <c r="C23" s="11" t="s">
        <v>156</v>
      </c>
    </row>
    <row r="24" ht="24.75" customHeight="1">
      <c r="A24" s="11" t="s">
        <v>158</v>
      </c>
      <c r="B24" s="11" t="s">
        <v>159</v>
      </c>
      <c r="C24" s="11" t="s">
        <v>162</v>
      </c>
    </row>
    <row r="25" ht="37.5" customHeight="1">
      <c r="A25" s="11" t="s">
        <v>165</v>
      </c>
      <c r="B25" s="11" t="s">
        <v>166</v>
      </c>
      <c r="C25" s="11" t="s">
        <v>169</v>
      </c>
    </row>
    <row r="26" ht="24.75" customHeight="1">
      <c r="A26" s="11" t="s">
        <v>170</v>
      </c>
      <c r="B26" s="11" t="s">
        <v>172</v>
      </c>
      <c r="C26" s="11" t="s">
        <v>173</v>
      </c>
    </row>
    <row r="27" ht="24.75" customHeight="1">
      <c r="A27" s="11" t="s">
        <v>175</v>
      </c>
      <c r="B27" s="11" t="s">
        <v>177</v>
      </c>
      <c r="C27" s="11" t="s">
        <v>178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customSheetViews>
    <customSheetView guid="{FA2D2F8A-D0F8-4B65-AC68-98BA8B81F3AE}" filter="1" showAutoFilter="1">
      <autoFilter ref="$A$5:$B$11"/>
    </customSheetView>
    <customSheetView guid="{554E0FB1-5931-403C-8D02-530E6D037CE7}" filter="1" showAutoFilter="1">
      <autoFilter ref="$A$14:$B$19"/>
    </customSheetView>
    <customSheetView guid="{FB296A3D-4CBC-4895-B494-5BF5F7170D25}" filter="1" showAutoFilter="1">
      <autoFilter ref="$A$22:$C$27"/>
    </customSheetView>
  </customSheetViews>
  <mergeCells count="5">
    <mergeCell ref="A1:L1"/>
    <mergeCell ref="A2:L2"/>
    <mergeCell ref="A4:L4"/>
    <mergeCell ref="A13:L13"/>
    <mergeCell ref="A21:L21"/>
  </mergeCells>
  <hyperlinks>
    <hyperlink r:id="rId1" ref="B10"/>
  </hyperlinks>
  <printOptions/>
  <pageMargins bottom="0.4" footer="0.0" header="0.0" left="0.25" right="0.25" top="0.4"/>
  <pageSetup fitToHeight="0" orientation="landscape"/>
  <drawing r:id="rId2"/>
  <tableParts count="3"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8F83"/>
    <pageSetUpPr fitToPage="1"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5.0"/>
    <col customWidth="1" min="3" max="3" width="53.0"/>
    <col customWidth="1" min="4" max="4" width="22.0"/>
    <col customWidth="1" min="5" max="5" width="24.0"/>
    <col customWidth="1" min="6" max="6" width="28.0"/>
    <col customWidth="1" min="7" max="12" width="24.0"/>
  </cols>
  <sheetData>
    <row r="1" ht="33.75" customHeight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8.5" customHeight="1">
      <c r="A2" s="4" t="s">
        <v>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.0" customHeight="1">
      <c r="A4" s="6" t="s">
        <v>17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27.75" customHeight="1">
      <c r="A5" s="10" t="s">
        <v>27</v>
      </c>
      <c r="B5" s="10" t="s">
        <v>30</v>
      </c>
      <c r="C5" s="10" t="s">
        <v>37</v>
      </c>
    </row>
    <row r="6" ht="24.75" customHeight="1">
      <c r="A6" s="11" t="s">
        <v>46</v>
      </c>
      <c r="B6" s="11" t="s">
        <v>51</v>
      </c>
      <c r="C6" s="11" t="s">
        <v>57</v>
      </c>
    </row>
    <row r="7" ht="24.75" customHeight="1">
      <c r="A7" s="11" t="s">
        <v>64</v>
      </c>
      <c r="B7" s="11" t="s">
        <v>69</v>
      </c>
      <c r="C7" s="11" t="s">
        <v>57</v>
      </c>
    </row>
    <row r="8" ht="24.75" customHeight="1">
      <c r="A8" s="11" t="s">
        <v>75</v>
      </c>
      <c r="B8" s="11" t="s">
        <v>48</v>
      </c>
      <c r="C8" s="11" t="s">
        <v>81</v>
      </c>
    </row>
    <row r="9" ht="37.5" customHeight="1">
      <c r="A9" s="11" t="s">
        <v>87</v>
      </c>
      <c r="B9" s="11" t="s">
        <v>93</v>
      </c>
      <c r="C9" s="11" t="s">
        <v>97</v>
      </c>
    </row>
    <row r="10" ht="24.75" customHeight="1">
      <c r="A10" s="11" t="s">
        <v>101</v>
      </c>
      <c r="B10" s="11" t="s">
        <v>105</v>
      </c>
      <c r="C10" s="11" t="s">
        <v>57</v>
      </c>
    </row>
    <row r="11" ht="24.75" customHeight="1">
      <c r="A11" s="11" t="s">
        <v>109</v>
      </c>
      <c r="B11" s="11" t="s">
        <v>111</v>
      </c>
      <c r="C11" s="11" t="s">
        <v>115</v>
      </c>
    </row>
    <row r="12" ht="24.75" customHeight="1">
      <c r="A12" s="11" t="s">
        <v>120</v>
      </c>
      <c r="B12" s="11" t="s">
        <v>123</v>
      </c>
      <c r="C12" s="11" t="s">
        <v>57</v>
      </c>
    </row>
    <row r="13" ht="24.75" customHeight="1">
      <c r="A13" s="11" t="s">
        <v>127</v>
      </c>
      <c r="B13" s="11" t="s">
        <v>133</v>
      </c>
      <c r="C13" s="11" t="s">
        <v>57</v>
      </c>
    </row>
    <row r="16" ht="24.0" customHeight="1">
      <c r="A16" s="6" t="s">
        <v>139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27.75" customHeight="1">
      <c r="A17" s="10" t="s">
        <v>145</v>
      </c>
      <c r="B17" s="10" t="s">
        <v>147</v>
      </c>
    </row>
    <row r="18" ht="69.75" customHeight="1">
      <c r="A18" s="11" t="s">
        <v>150</v>
      </c>
      <c r="B18" s="11" t="s">
        <v>152</v>
      </c>
    </row>
    <row r="19" ht="69.75" customHeight="1">
      <c r="A19" s="11" t="s">
        <v>155</v>
      </c>
      <c r="B19" s="11" t="s">
        <v>157</v>
      </c>
    </row>
    <row r="20" ht="69.75" customHeight="1">
      <c r="A20" s="11" t="s">
        <v>160</v>
      </c>
      <c r="B20" s="11" t="s">
        <v>161</v>
      </c>
    </row>
    <row r="21" ht="69.75" customHeight="1">
      <c r="A21" s="11" t="s">
        <v>164</v>
      </c>
      <c r="B21" s="11" t="s">
        <v>167</v>
      </c>
    </row>
    <row r="22" ht="15.75" customHeight="1"/>
    <row r="23" ht="24.0" customHeight="1">
      <c r="A23" s="6" t="s">
        <v>171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ht="27.75" customHeight="1">
      <c r="A24" s="10" t="s">
        <v>176</v>
      </c>
      <c r="B24" s="10" t="s">
        <v>179</v>
      </c>
      <c r="C24" s="10" t="s">
        <v>181</v>
      </c>
    </row>
    <row r="25" ht="24.75" customHeight="1">
      <c r="A25" s="11" t="s">
        <v>182</v>
      </c>
      <c r="B25" s="11" t="s">
        <v>184</v>
      </c>
      <c r="C25" s="11" t="s">
        <v>185</v>
      </c>
    </row>
    <row r="26" ht="24.75" customHeight="1">
      <c r="A26" s="11" t="s">
        <v>101</v>
      </c>
      <c r="B26" s="11" t="s">
        <v>187</v>
      </c>
      <c r="C26" s="11" t="s">
        <v>188</v>
      </c>
    </row>
    <row r="27" ht="24.75" customHeight="1">
      <c r="A27" s="11" t="s">
        <v>190</v>
      </c>
      <c r="B27" s="11" t="s">
        <v>191</v>
      </c>
      <c r="C27" s="11" t="s">
        <v>193</v>
      </c>
    </row>
    <row r="28" ht="24.75" customHeight="1">
      <c r="A28" s="11" t="s">
        <v>195</v>
      </c>
      <c r="B28" s="11" t="s">
        <v>196</v>
      </c>
      <c r="C28" s="11" t="s">
        <v>198</v>
      </c>
    </row>
    <row r="29" ht="24.75" customHeight="1">
      <c r="A29" s="11" t="s">
        <v>201</v>
      </c>
      <c r="B29" s="11" t="s">
        <v>203</v>
      </c>
      <c r="C29" s="11" t="s">
        <v>205</v>
      </c>
    </row>
    <row r="30" ht="37.5" customHeight="1">
      <c r="A30" s="11" t="s">
        <v>207</v>
      </c>
      <c r="B30" s="11" t="s">
        <v>209</v>
      </c>
      <c r="C30" s="11" t="s">
        <v>210</v>
      </c>
    </row>
    <row r="31" ht="15.75" customHeight="1"/>
    <row r="32" ht="24.0" customHeight="1">
      <c r="A32" s="17" t="s">
        <v>212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ht="15.75" customHeight="1"/>
    <row r="34" ht="15.75" customHeight="1">
      <c r="A34" s="14" t="s">
        <v>217</v>
      </c>
    </row>
    <row r="35" ht="15.75" customHeight="1">
      <c r="A35" s="14" t="s">
        <v>27</v>
      </c>
      <c r="B35" s="14" t="s">
        <v>30</v>
      </c>
      <c r="C35" s="14" t="s">
        <v>37</v>
      </c>
    </row>
    <row r="36" ht="15.75" customHeight="1">
      <c r="A36" s="14" t="s">
        <v>219</v>
      </c>
      <c r="B36" s="14" t="s">
        <v>220</v>
      </c>
      <c r="C36" s="14" t="s">
        <v>221</v>
      </c>
    </row>
    <row r="37" ht="15.75" customHeight="1">
      <c r="A37" s="14" t="s">
        <v>223</v>
      </c>
      <c r="B37" s="14" t="s">
        <v>224</v>
      </c>
      <c r="C37" s="14" t="s">
        <v>225</v>
      </c>
    </row>
    <row r="38" ht="15.75" customHeight="1">
      <c r="A38" s="14" t="s">
        <v>227</v>
      </c>
      <c r="B38" s="14" t="s">
        <v>228</v>
      </c>
      <c r="C38" s="14" t="s">
        <v>229</v>
      </c>
    </row>
    <row r="39" ht="15.75" customHeight="1">
      <c r="A39" s="14" t="s">
        <v>231</v>
      </c>
      <c r="B39" s="14" t="s">
        <v>232</v>
      </c>
      <c r="C39" s="14" t="s">
        <v>233</v>
      </c>
    </row>
    <row r="40" ht="15.75" customHeight="1">
      <c r="A40" s="14" t="s">
        <v>234</v>
      </c>
      <c r="B40" s="14" t="s">
        <v>235</v>
      </c>
      <c r="C40" s="14" t="s">
        <v>236</v>
      </c>
    </row>
    <row r="41" ht="15.75" customHeight="1">
      <c r="A41" s="14" t="s">
        <v>190</v>
      </c>
      <c r="B41" s="14" t="s">
        <v>237</v>
      </c>
      <c r="C41" s="14" t="s">
        <v>239</v>
      </c>
    </row>
    <row r="42" ht="15.75" customHeight="1">
      <c r="A42" s="14" t="s">
        <v>240</v>
      </c>
      <c r="B42" s="14" t="s">
        <v>241</v>
      </c>
      <c r="C42" s="14" t="s">
        <v>242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ustomSheetViews>
    <customSheetView guid="{A219C160-FAE7-4347-9BAA-A300448C4CAC}" filter="1" showAutoFilter="1">
      <autoFilter ref="$A$17:$B$21"/>
    </customSheetView>
    <customSheetView guid="{7ED8EAE1-4961-47C6-9638-FDC842B21054}" filter="1" showAutoFilter="1">
      <autoFilter ref="$A$24:$C$30"/>
    </customSheetView>
    <customSheetView guid="{E04DC412-221B-4061-8C21-2FC906791ECB}" filter="1" showAutoFilter="1">
      <autoFilter ref="$A$5:$C$13"/>
    </customSheetView>
  </customSheetViews>
  <mergeCells count="7">
    <mergeCell ref="A1:L1"/>
    <mergeCell ref="A2:L2"/>
    <mergeCell ref="A4:L4"/>
    <mergeCell ref="A16:L16"/>
    <mergeCell ref="A23:L23"/>
    <mergeCell ref="A32:L32"/>
    <mergeCell ref="A34:L34"/>
  </mergeCells>
  <printOptions/>
  <pageMargins bottom="0.4" footer="0.0" header="0.0" left="0.25" right="0.25" top="0.4"/>
  <pageSetup fitToHeight="0" orientation="landscape"/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183"/>
    <pageSetUpPr fitToPage="1"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67.86"/>
    <col customWidth="1" min="3" max="4" width="31.0"/>
    <col customWidth="1" min="5" max="5" width="22.0"/>
    <col customWidth="1" min="6" max="6" width="26.0"/>
    <col customWidth="1" min="7" max="8" width="28.0"/>
    <col customWidth="1" min="9" max="12" width="24.0"/>
  </cols>
  <sheetData>
    <row r="1" ht="33.75" customHeight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51.75" customHeight="1">
      <c r="A2" s="3" t="s">
        <v>5</v>
      </c>
    </row>
    <row r="4" ht="24.0" customHeight="1">
      <c r="A4" s="6" t="s">
        <v>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27.75" customHeight="1">
      <c r="A5" s="10" t="s">
        <v>12</v>
      </c>
      <c r="B5" s="10" t="s">
        <v>22</v>
      </c>
    </row>
    <row r="6" ht="37.5" customHeight="1">
      <c r="A6" s="11" t="s">
        <v>25</v>
      </c>
      <c r="B6" s="11" t="s">
        <v>29</v>
      </c>
    </row>
    <row r="7" ht="24.75" customHeight="1">
      <c r="A7" s="11" t="s">
        <v>33</v>
      </c>
      <c r="B7" s="11" t="s">
        <v>35</v>
      </c>
    </row>
    <row r="8" ht="24.75" customHeight="1">
      <c r="A8" s="11" t="s">
        <v>41</v>
      </c>
      <c r="B8" s="11" t="s">
        <v>44</v>
      </c>
    </row>
    <row r="9" ht="24.75" customHeight="1">
      <c r="A9" s="11" t="s">
        <v>49</v>
      </c>
      <c r="B9" s="11" t="s">
        <v>53</v>
      </c>
    </row>
    <row r="10" ht="37.5" customHeight="1">
      <c r="A10" s="11" t="s">
        <v>58</v>
      </c>
      <c r="B10" s="11" t="s">
        <v>61</v>
      </c>
    </row>
    <row r="11" ht="69.75" customHeight="1">
      <c r="A11" s="11" t="s">
        <v>67</v>
      </c>
      <c r="B11" s="11" t="s">
        <v>70</v>
      </c>
    </row>
    <row r="12" ht="69.75" customHeight="1">
      <c r="A12" s="11" t="s">
        <v>79</v>
      </c>
      <c r="B12" s="11" t="s">
        <v>82</v>
      </c>
    </row>
    <row r="13" ht="37.5" customHeight="1">
      <c r="A13" s="11" t="s">
        <v>86</v>
      </c>
      <c r="B13" s="11" t="s">
        <v>91</v>
      </c>
    </row>
    <row r="15" ht="24.0" customHeight="1">
      <c r="A15" s="6" t="s">
        <v>96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27.75" customHeight="1">
      <c r="A16" s="10" t="s">
        <v>12</v>
      </c>
      <c r="B16" s="10" t="s">
        <v>22</v>
      </c>
    </row>
    <row r="17" ht="51.75" customHeight="1">
      <c r="A17" s="11" t="s">
        <v>25</v>
      </c>
      <c r="B17" s="11" t="s">
        <v>112</v>
      </c>
    </row>
    <row r="18" ht="24.75" customHeight="1">
      <c r="A18" s="11" t="s">
        <v>33</v>
      </c>
      <c r="B18" s="11" t="s">
        <v>118</v>
      </c>
    </row>
    <row r="19" ht="24.75" customHeight="1">
      <c r="A19" s="11" t="s">
        <v>41</v>
      </c>
      <c r="B19" s="11" t="s">
        <v>124</v>
      </c>
    </row>
    <row r="20" ht="24.75" customHeight="1">
      <c r="A20" s="11" t="s">
        <v>49</v>
      </c>
      <c r="B20" s="11" t="s">
        <v>128</v>
      </c>
    </row>
    <row r="21" ht="37.5" customHeight="1">
      <c r="A21" s="11" t="s">
        <v>58</v>
      </c>
      <c r="B21" s="11" t="s">
        <v>136</v>
      </c>
    </row>
    <row r="22" ht="69.75" customHeight="1">
      <c r="A22" s="11" t="s">
        <v>67</v>
      </c>
      <c r="B22" s="11" t="s">
        <v>140</v>
      </c>
    </row>
    <row r="23" ht="51.75" customHeight="1">
      <c r="A23" s="11" t="s">
        <v>79</v>
      </c>
      <c r="B23" s="11" t="s">
        <v>143</v>
      </c>
    </row>
    <row r="24" ht="37.5" customHeight="1">
      <c r="A24" s="11" t="s">
        <v>86</v>
      </c>
      <c r="B24" s="11" t="s">
        <v>146</v>
      </c>
    </row>
    <row r="25" ht="15.75" customHeight="1"/>
    <row r="26" ht="24.0" customHeight="1">
      <c r="A26" s="6" t="s">
        <v>149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ht="27.75" customHeight="1">
      <c r="A27" s="10" t="s">
        <v>12</v>
      </c>
      <c r="B27" s="10" t="s">
        <v>22</v>
      </c>
    </row>
    <row r="28" ht="51.75" customHeight="1">
      <c r="A28" s="11" t="s">
        <v>25</v>
      </c>
      <c r="B28" s="11" t="s">
        <v>163</v>
      </c>
    </row>
    <row r="29" ht="37.5" customHeight="1">
      <c r="A29" s="11" t="s">
        <v>33</v>
      </c>
      <c r="B29" s="11" t="s">
        <v>168</v>
      </c>
    </row>
    <row r="30" ht="24.75" customHeight="1">
      <c r="A30" s="11" t="s">
        <v>41</v>
      </c>
      <c r="B30" s="11" t="s">
        <v>174</v>
      </c>
    </row>
    <row r="31" ht="24.75" customHeight="1">
      <c r="A31" s="11" t="s">
        <v>49</v>
      </c>
      <c r="B31" s="11" t="s">
        <v>180</v>
      </c>
    </row>
    <row r="32" ht="37.5" customHeight="1">
      <c r="A32" s="11" t="s">
        <v>58</v>
      </c>
      <c r="B32" s="11" t="s">
        <v>183</v>
      </c>
    </row>
    <row r="33" ht="51.75" customHeight="1">
      <c r="A33" s="11" t="s">
        <v>67</v>
      </c>
      <c r="B33" s="11" t="s">
        <v>186</v>
      </c>
    </row>
    <row r="34" ht="69.75" customHeight="1">
      <c r="A34" s="11" t="s">
        <v>79</v>
      </c>
      <c r="B34" s="11" t="s">
        <v>189</v>
      </c>
    </row>
    <row r="35" ht="37.5" customHeight="1">
      <c r="A35" s="11" t="s">
        <v>86</v>
      </c>
      <c r="B35" s="11" t="s">
        <v>192</v>
      </c>
    </row>
    <row r="36" ht="15.75" customHeight="1"/>
    <row r="37" ht="24.0" customHeight="1">
      <c r="A37" s="6" t="s">
        <v>194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ht="27.75" customHeight="1">
      <c r="A38" s="10" t="s">
        <v>197</v>
      </c>
      <c r="B38" s="10" t="s">
        <v>199</v>
      </c>
      <c r="C38" s="10" t="s">
        <v>200</v>
      </c>
      <c r="D38" s="10" t="s">
        <v>202</v>
      </c>
      <c r="E38" s="16"/>
      <c r="F38" s="16"/>
      <c r="G38" s="16"/>
      <c r="H38" s="16"/>
      <c r="I38" s="16"/>
      <c r="J38" s="16"/>
      <c r="K38" s="16"/>
      <c r="L38" s="16"/>
    </row>
    <row r="39" ht="24.75" customHeight="1">
      <c r="A39" s="11" t="s">
        <v>204</v>
      </c>
      <c r="B39" s="11" t="s">
        <v>206</v>
      </c>
      <c r="C39" s="11" t="s">
        <v>208</v>
      </c>
      <c r="D39" s="11" t="s">
        <v>211</v>
      </c>
      <c r="E39" s="16"/>
      <c r="F39" s="16"/>
      <c r="G39" s="16"/>
      <c r="H39" s="16"/>
      <c r="I39" s="16"/>
      <c r="J39" s="16"/>
      <c r="K39" s="16"/>
      <c r="L39" s="16"/>
    </row>
    <row r="40" ht="24.75" customHeight="1">
      <c r="A40" s="11" t="s">
        <v>213</v>
      </c>
      <c r="B40" s="11" t="s">
        <v>214</v>
      </c>
      <c r="C40" s="11" t="s">
        <v>215</v>
      </c>
      <c r="D40" s="11" t="s">
        <v>216</v>
      </c>
      <c r="E40" s="16"/>
      <c r="F40" s="16"/>
      <c r="G40" s="16"/>
      <c r="H40" s="16"/>
      <c r="I40" s="16"/>
      <c r="J40" s="16"/>
      <c r="K40" s="16"/>
      <c r="L40" s="16"/>
    </row>
    <row r="41" ht="24.75" customHeight="1">
      <c r="A41" s="11" t="s">
        <v>218</v>
      </c>
      <c r="B41" s="11" t="s">
        <v>222</v>
      </c>
      <c r="C41" s="11" t="s">
        <v>226</v>
      </c>
      <c r="D41" s="11" t="s">
        <v>230</v>
      </c>
      <c r="E41" s="16"/>
      <c r="F41" s="16"/>
      <c r="G41" s="16"/>
      <c r="H41" s="16"/>
      <c r="I41" s="16"/>
      <c r="J41" s="16"/>
      <c r="K41" s="16"/>
      <c r="L41" s="16"/>
    </row>
    <row r="42" ht="24.75" customHeight="1">
      <c r="A42" s="11" t="s">
        <v>238</v>
      </c>
      <c r="B42" s="11" t="s">
        <v>243</v>
      </c>
      <c r="C42" s="11" t="s">
        <v>244</v>
      </c>
      <c r="D42" s="11" t="s">
        <v>245</v>
      </c>
      <c r="E42" s="16"/>
      <c r="F42" s="16"/>
      <c r="G42" s="16"/>
      <c r="H42" s="16"/>
      <c r="I42" s="16"/>
      <c r="J42" s="16"/>
      <c r="K42" s="16"/>
      <c r="L42" s="16"/>
    </row>
    <row r="43" ht="24.75" customHeight="1">
      <c r="A43" s="11" t="s">
        <v>246</v>
      </c>
      <c r="B43" s="11" t="s">
        <v>247</v>
      </c>
      <c r="C43" s="11" t="s">
        <v>248</v>
      </c>
      <c r="D43" s="11" t="s">
        <v>249</v>
      </c>
      <c r="E43" s="16"/>
      <c r="F43" s="16"/>
      <c r="G43" s="16"/>
      <c r="H43" s="16"/>
      <c r="I43" s="16"/>
      <c r="J43" s="16"/>
      <c r="K43" s="16"/>
      <c r="L43" s="16"/>
    </row>
    <row r="44" ht="15.75" customHeight="1"/>
    <row r="45" ht="15.75" customHeight="1"/>
    <row r="46" ht="24.0" customHeight="1">
      <c r="A46" s="18" t="s">
        <v>250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ht="90.0" customHeight="1">
      <c r="A47" s="19" t="s">
        <v>251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1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ustomSheetViews>
    <customSheetView guid="{1AF9A3CA-8ADC-4AAF-9D1A-FFECE3A77F0B}" filter="1" showAutoFilter="1">
      <autoFilter ref="$A$38:$D$43"/>
    </customSheetView>
    <customSheetView guid="{908084E4-C0E4-4332-BEB5-80F3E2621A29}" filter="1" showAutoFilter="1">
      <autoFilter ref="$A$27:$B$35"/>
    </customSheetView>
    <customSheetView guid="{B1F947FE-67FA-40FB-8972-A310C69501E5}" filter="1" showAutoFilter="1">
      <autoFilter ref="$A$5:$B$13"/>
    </customSheetView>
    <customSheetView guid="{E1D031F8-F20C-4829-BE12-F50AC7B29CA9}" filter="1" showAutoFilter="1">
      <autoFilter ref="$A$16:$B$24"/>
    </customSheetView>
  </customSheetViews>
  <mergeCells count="8">
    <mergeCell ref="A46:L46"/>
    <mergeCell ref="A47:L47"/>
    <mergeCell ref="A1:L1"/>
    <mergeCell ref="A2:L2"/>
    <mergeCell ref="A4:L4"/>
    <mergeCell ref="A15:L15"/>
    <mergeCell ref="A26:L26"/>
    <mergeCell ref="A37:L37"/>
  </mergeCells>
  <printOptions/>
  <pageMargins bottom="0.4" footer="0.0" header="0.0" left="0.25" right="0.25" top="0.4"/>
  <pageSetup fitToHeight="0" orientation="landscape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 fitToPage="1"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33.57"/>
    <col customWidth="1" min="3" max="3" width="19.0"/>
    <col customWidth="1" min="4" max="4" width="24.0"/>
    <col customWidth="1" min="5" max="5" width="13.0"/>
    <col customWidth="1" min="6" max="6" width="14.0"/>
    <col customWidth="1" min="7" max="7" width="12.0"/>
    <col customWidth="1" min="8" max="9" width="14.0"/>
    <col customWidth="1" min="10" max="10" width="15.0"/>
    <col customWidth="1" min="11" max="11" width="24.0"/>
    <col customWidth="1" min="12" max="12" width="32.0"/>
  </cols>
  <sheetData>
    <row r="1" ht="33.75" customHeight="1">
      <c r="A1" s="1" t="s">
        <v>252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51.75" customHeight="1">
      <c r="A2" s="22" t="s">
        <v>253</v>
      </c>
    </row>
    <row r="3" ht="32.25" customHeight="1">
      <c r="A3" s="4" t="s">
        <v>254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ht="24.0" customHeight="1">
      <c r="A5" s="6" t="s">
        <v>255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ht="27.75" customHeight="1">
      <c r="A6" s="10" t="s">
        <v>256</v>
      </c>
      <c r="B6" s="10" t="s">
        <v>257</v>
      </c>
      <c r="C6" s="10" t="s">
        <v>258</v>
      </c>
      <c r="D6" s="10" t="s">
        <v>259</v>
      </c>
      <c r="E6" s="10" t="s">
        <v>260</v>
      </c>
      <c r="F6" s="10" t="s">
        <v>261</v>
      </c>
      <c r="G6" s="10" t="s">
        <v>262</v>
      </c>
      <c r="H6" s="10" t="s">
        <v>263</v>
      </c>
      <c r="I6" s="10" t="s">
        <v>264</v>
      </c>
      <c r="J6" s="10" t="s">
        <v>265</v>
      </c>
      <c r="K6" s="10" t="s">
        <v>266</v>
      </c>
      <c r="L6" s="10" t="s">
        <v>267</v>
      </c>
    </row>
    <row r="7" ht="24.75" customHeight="1">
      <c r="A7" s="11" t="s">
        <v>268</v>
      </c>
      <c r="B7" s="11" t="s">
        <v>269</v>
      </c>
      <c r="C7" s="11" t="s">
        <v>270</v>
      </c>
      <c r="D7" s="11" t="s">
        <v>271</v>
      </c>
      <c r="E7" s="11" t="s">
        <v>272</v>
      </c>
      <c r="F7" s="23">
        <v>32.61</v>
      </c>
      <c r="G7" s="24">
        <f t="shared" ref="G7:G27" si="1">F7/SUM($F$7:$F$27)</f>
        <v>0.09134453782</v>
      </c>
      <c r="H7" s="24">
        <v>0.21</v>
      </c>
      <c r="I7" s="24">
        <v>0.185</v>
      </c>
      <c r="J7" s="24">
        <v>0.31</v>
      </c>
      <c r="K7" s="11" t="s">
        <v>273</v>
      </c>
      <c r="L7" s="11" t="s">
        <v>274</v>
      </c>
    </row>
    <row r="8" ht="24.75" customHeight="1">
      <c r="A8" s="11" t="s">
        <v>275</v>
      </c>
      <c r="B8" s="11" t="s">
        <v>276</v>
      </c>
      <c r="C8" s="11" t="s">
        <v>270</v>
      </c>
      <c r="D8" s="11" t="s">
        <v>277</v>
      </c>
      <c r="E8" s="11" t="s">
        <v>272</v>
      </c>
      <c r="F8" s="23">
        <v>22.04</v>
      </c>
      <c r="G8" s="24">
        <f t="shared" si="1"/>
        <v>0.06173669468</v>
      </c>
      <c r="H8" s="24">
        <v>0.08</v>
      </c>
      <c r="I8" s="24">
        <v>0.092</v>
      </c>
      <c r="J8" s="24">
        <v>0.23</v>
      </c>
      <c r="K8" s="11" t="s">
        <v>273</v>
      </c>
      <c r="L8" s="11" t="s">
        <v>278</v>
      </c>
    </row>
    <row r="9" ht="24.75" customHeight="1">
      <c r="A9" s="11" t="s">
        <v>279</v>
      </c>
      <c r="B9" s="11" t="s">
        <v>280</v>
      </c>
      <c r="C9" s="11" t="s">
        <v>270</v>
      </c>
      <c r="D9" s="11" t="s">
        <v>281</v>
      </c>
      <c r="E9" s="11" t="s">
        <v>272</v>
      </c>
      <c r="F9" s="23">
        <v>18.7</v>
      </c>
      <c r="G9" s="24">
        <f t="shared" si="1"/>
        <v>0.05238095238</v>
      </c>
      <c r="H9" s="24">
        <v>0.18</v>
      </c>
      <c r="I9" s="24">
        <v>0.168</v>
      </c>
      <c r="J9" s="24">
        <v>0.24</v>
      </c>
      <c r="K9" s="11" t="s">
        <v>273</v>
      </c>
      <c r="L9" s="11" t="s">
        <v>278</v>
      </c>
    </row>
    <row r="10" ht="24.75" customHeight="1">
      <c r="A10" s="11" t="s">
        <v>282</v>
      </c>
      <c r="B10" s="11" t="s">
        <v>283</v>
      </c>
      <c r="C10" s="11" t="s">
        <v>284</v>
      </c>
      <c r="D10" s="11" t="s">
        <v>285</v>
      </c>
      <c r="E10" s="11" t="s">
        <v>286</v>
      </c>
      <c r="F10" s="23">
        <v>18.63</v>
      </c>
      <c r="G10" s="24">
        <f t="shared" si="1"/>
        <v>0.05218487395</v>
      </c>
      <c r="H10" s="24">
        <v>0.42</v>
      </c>
      <c r="I10" s="24">
        <v>0.28</v>
      </c>
      <c r="J10" s="24">
        <v>0.62</v>
      </c>
      <c r="K10" s="11" t="s">
        <v>289</v>
      </c>
      <c r="L10" s="11" t="s">
        <v>278</v>
      </c>
    </row>
    <row r="11" ht="24.75" customHeight="1">
      <c r="A11" s="11" t="s">
        <v>291</v>
      </c>
      <c r="B11" s="11" t="s">
        <v>292</v>
      </c>
      <c r="C11" s="11" t="s">
        <v>293</v>
      </c>
      <c r="D11" s="11" t="s">
        <v>294</v>
      </c>
      <c r="E11" s="11" t="s">
        <v>272</v>
      </c>
      <c r="F11" s="23">
        <v>15.45</v>
      </c>
      <c r="G11" s="24">
        <f t="shared" si="1"/>
        <v>0.04327731092</v>
      </c>
      <c r="H11" s="24">
        <v>0.16</v>
      </c>
      <c r="I11" s="24">
        <v>0.202</v>
      </c>
      <c r="J11" s="24">
        <v>0.26</v>
      </c>
      <c r="K11" s="11" t="s">
        <v>298</v>
      </c>
      <c r="L11" s="11" t="s">
        <v>278</v>
      </c>
    </row>
    <row r="12" ht="24.75" customHeight="1">
      <c r="A12" s="11" t="s">
        <v>300</v>
      </c>
      <c r="B12" s="11" t="s">
        <v>302</v>
      </c>
      <c r="C12" s="11" t="s">
        <v>270</v>
      </c>
      <c r="D12" s="11" t="s">
        <v>304</v>
      </c>
      <c r="E12" s="11" t="s">
        <v>272</v>
      </c>
      <c r="F12" s="23">
        <v>13.46</v>
      </c>
      <c r="G12" s="24">
        <f t="shared" si="1"/>
        <v>0.03770308123</v>
      </c>
      <c r="H12" s="24">
        <v>0.06</v>
      </c>
      <c r="I12" s="24">
        <v>0.085</v>
      </c>
      <c r="J12" s="24">
        <v>0.18</v>
      </c>
      <c r="K12" s="11" t="s">
        <v>273</v>
      </c>
      <c r="L12" s="11" t="s">
        <v>278</v>
      </c>
    </row>
    <row r="13" ht="24.75" customHeight="1">
      <c r="A13" s="11" t="s">
        <v>310</v>
      </c>
      <c r="B13" s="11" t="s">
        <v>311</v>
      </c>
      <c r="C13" s="11" t="s">
        <v>313</v>
      </c>
      <c r="D13" s="11" t="s">
        <v>314</v>
      </c>
      <c r="E13" s="11" t="s">
        <v>286</v>
      </c>
      <c r="F13" s="23">
        <v>11.71</v>
      </c>
      <c r="G13" s="24">
        <f t="shared" si="1"/>
        <v>0.03280112045</v>
      </c>
      <c r="H13" s="24">
        <v>0.15</v>
      </c>
      <c r="I13" s="24">
        <v>0.12</v>
      </c>
      <c r="J13" s="24">
        <v>0.27</v>
      </c>
      <c r="K13" s="11" t="s">
        <v>318</v>
      </c>
      <c r="L13" s="11" t="s">
        <v>278</v>
      </c>
    </row>
    <row r="14" ht="24.75" customHeight="1">
      <c r="A14" s="11" t="s">
        <v>320</v>
      </c>
      <c r="B14" s="11" t="s">
        <v>322</v>
      </c>
      <c r="C14" s="11" t="s">
        <v>293</v>
      </c>
      <c r="D14" s="11" t="s">
        <v>304</v>
      </c>
      <c r="E14" s="11" t="s">
        <v>272</v>
      </c>
      <c r="F14" s="23">
        <v>9.84</v>
      </c>
      <c r="G14" s="24">
        <f t="shared" si="1"/>
        <v>0.02756302521</v>
      </c>
      <c r="H14" s="24">
        <v>-0.08</v>
      </c>
      <c r="I14" s="24">
        <v>0.1</v>
      </c>
      <c r="J14" s="24">
        <v>0.24</v>
      </c>
      <c r="K14" s="11" t="s">
        <v>298</v>
      </c>
      <c r="L14" s="11" t="s">
        <v>278</v>
      </c>
    </row>
    <row r="15" ht="24.75" customHeight="1">
      <c r="A15" s="11" t="s">
        <v>331</v>
      </c>
      <c r="B15" s="11" t="s">
        <v>332</v>
      </c>
      <c r="C15" s="11" t="s">
        <v>293</v>
      </c>
      <c r="D15" s="11" t="s">
        <v>335</v>
      </c>
      <c r="E15" s="11" t="s">
        <v>272</v>
      </c>
      <c r="F15" s="23">
        <v>7.56</v>
      </c>
      <c r="G15" s="24">
        <f t="shared" si="1"/>
        <v>0.02117647059</v>
      </c>
      <c r="H15" s="24">
        <v>-0.04</v>
      </c>
      <c r="I15" s="24">
        <v>0.025</v>
      </c>
      <c r="J15" s="24">
        <v>0.29</v>
      </c>
      <c r="K15" s="11" t="s">
        <v>298</v>
      </c>
      <c r="L15" s="11" t="s">
        <v>278</v>
      </c>
    </row>
    <row r="16" ht="24.75" customHeight="1">
      <c r="A16" s="11" t="s">
        <v>341</v>
      </c>
      <c r="B16" s="11" t="s">
        <v>343</v>
      </c>
      <c r="C16" s="11" t="s">
        <v>293</v>
      </c>
      <c r="D16" s="11" t="s">
        <v>271</v>
      </c>
      <c r="E16" s="11" t="s">
        <v>272</v>
      </c>
      <c r="F16" s="23">
        <v>9.19</v>
      </c>
      <c r="G16" s="24">
        <f t="shared" si="1"/>
        <v>0.02574229692</v>
      </c>
      <c r="H16" s="24">
        <v>0.28</v>
      </c>
      <c r="I16" s="24">
        <v>0.34</v>
      </c>
      <c r="J16" s="24">
        <v>0.42</v>
      </c>
      <c r="K16" s="11" t="s">
        <v>298</v>
      </c>
      <c r="L16" s="11" t="s">
        <v>278</v>
      </c>
    </row>
    <row r="17" ht="24.75" customHeight="1">
      <c r="A17" s="11" t="s">
        <v>351</v>
      </c>
      <c r="B17" s="11" t="s">
        <v>352</v>
      </c>
      <c r="C17" s="11" t="s">
        <v>293</v>
      </c>
      <c r="D17" s="11" t="s">
        <v>354</v>
      </c>
      <c r="E17" s="11" t="s">
        <v>272</v>
      </c>
      <c r="F17" s="23">
        <v>7.45</v>
      </c>
      <c r="G17" s="24">
        <f t="shared" si="1"/>
        <v>0.02086834734</v>
      </c>
      <c r="H17" s="24">
        <v>0.2</v>
      </c>
      <c r="I17" s="24">
        <v>0.19</v>
      </c>
      <c r="J17" s="24">
        <v>0.31</v>
      </c>
      <c r="K17" s="11" t="s">
        <v>298</v>
      </c>
      <c r="L17" s="11" t="s">
        <v>278</v>
      </c>
    </row>
    <row r="18" ht="24.75" customHeight="1">
      <c r="A18" s="11" t="s">
        <v>360</v>
      </c>
      <c r="B18" s="11" t="s">
        <v>361</v>
      </c>
      <c r="C18" s="11" t="s">
        <v>293</v>
      </c>
      <c r="D18" s="11" t="s">
        <v>294</v>
      </c>
      <c r="E18" s="11" t="s">
        <v>272</v>
      </c>
      <c r="F18" s="23">
        <v>7.6</v>
      </c>
      <c r="G18" s="24">
        <f t="shared" si="1"/>
        <v>0.02128851541</v>
      </c>
      <c r="H18" s="24">
        <v>0.24</v>
      </c>
      <c r="I18" s="24">
        <v>0.21</v>
      </c>
      <c r="J18" s="24">
        <v>0.27</v>
      </c>
      <c r="K18" s="11" t="s">
        <v>298</v>
      </c>
      <c r="L18" s="11" t="s">
        <v>278</v>
      </c>
    </row>
    <row r="19" ht="24.75" customHeight="1">
      <c r="A19" s="11" t="s">
        <v>370</v>
      </c>
      <c r="B19" s="11" t="s">
        <v>370</v>
      </c>
      <c r="C19" s="11" t="s">
        <v>372</v>
      </c>
      <c r="D19" s="11" t="s">
        <v>373</v>
      </c>
      <c r="E19" s="11" t="s">
        <v>374</v>
      </c>
      <c r="F19" s="23">
        <v>22.04</v>
      </c>
      <c r="G19" s="24">
        <f t="shared" si="1"/>
        <v>0.06173669468</v>
      </c>
      <c r="H19" s="24">
        <v>0.1</v>
      </c>
      <c r="I19" s="24">
        <v>0.14</v>
      </c>
      <c r="J19" s="24">
        <v>0.2</v>
      </c>
      <c r="K19" s="11" t="s">
        <v>379</v>
      </c>
      <c r="L19" s="11" t="s">
        <v>278</v>
      </c>
    </row>
    <row r="20" ht="24.75" customHeight="1">
      <c r="A20" s="11" t="s">
        <v>382</v>
      </c>
      <c r="B20" s="11" t="s">
        <v>384</v>
      </c>
      <c r="C20" s="11" t="s">
        <v>372</v>
      </c>
      <c r="D20" s="11" t="s">
        <v>387</v>
      </c>
      <c r="E20" s="11" t="s">
        <v>374</v>
      </c>
      <c r="F20" s="23">
        <v>18.59</v>
      </c>
      <c r="G20" s="24">
        <f t="shared" si="1"/>
        <v>0.05207282913</v>
      </c>
      <c r="H20" s="24">
        <v>0.07</v>
      </c>
      <c r="I20" s="24">
        <v>0.15</v>
      </c>
      <c r="J20" s="24">
        <v>0.24</v>
      </c>
      <c r="K20" s="11" t="s">
        <v>379</v>
      </c>
      <c r="L20" s="11" t="s">
        <v>278</v>
      </c>
    </row>
    <row r="21" ht="24.75" customHeight="1">
      <c r="A21" s="11" t="s">
        <v>395</v>
      </c>
      <c r="B21" s="11" t="s">
        <v>395</v>
      </c>
      <c r="C21" s="11" t="s">
        <v>372</v>
      </c>
      <c r="D21" s="11" t="s">
        <v>373</v>
      </c>
      <c r="E21" s="11" t="s">
        <v>374</v>
      </c>
      <c r="F21" s="23">
        <v>15.36</v>
      </c>
      <c r="G21" s="24">
        <f t="shared" si="1"/>
        <v>0.04302521008</v>
      </c>
      <c r="H21" s="24">
        <v>0.14</v>
      </c>
      <c r="I21" s="24">
        <v>0.18</v>
      </c>
      <c r="J21" s="24">
        <v>0.22</v>
      </c>
      <c r="K21" s="11" t="s">
        <v>379</v>
      </c>
      <c r="L21" s="11" t="s">
        <v>278</v>
      </c>
    </row>
    <row r="22" ht="24.75" customHeight="1">
      <c r="A22" s="11" t="s">
        <v>405</v>
      </c>
      <c r="B22" s="11" t="s">
        <v>407</v>
      </c>
      <c r="C22" s="11" t="s">
        <v>408</v>
      </c>
      <c r="D22" s="11" t="s">
        <v>410</v>
      </c>
      <c r="E22" s="11" t="s">
        <v>374</v>
      </c>
      <c r="F22" s="23">
        <v>30.5</v>
      </c>
      <c r="G22" s="24">
        <f t="shared" si="1"/>
        <v>0.08543417367</v>
      </c>
      <c r="H22" s="24">
        <v>0.12</v>
      </c>
      <c r="I22" s="24">
        <v>0.135</v>
      </c>
      <c r="J22" s="24">
        <v>0.17</v>
      </c>
      <c r="K22" s="11" t="s">
        <v>412</v>
      </c>
      <c r="L22" s="11" t="s">
        <v>274</v>
      </c>
    </row>
    <row r="23" ht="24.75" customHeight="1">
      <c r="A23" s="11" t="s">
        <v>414</v>
      </c>
      <c r="B23" s="11" t="s">
        <v>415</v>
      </c>
      <c r="C23" s="11" t="s">
        <v>416</v>
      </c>
      <c r="D23" s="11" t="s">
        <v>418</v>
      </c>
      <c r="E23" s="11" t="s">
        <v>374</v>
      </c>
      <c r="F23" s="23">
        <v>22.35</v>
      </c>
      <c r="G23" s="24">
        <f t="shared" si="1"/>
        <v>0.06260504202</v>
      </c>
      <c r="H23" s="24">
        <v>0.13</v>
      </c>
      <c r="I23" s="24">
        <v>0.145</v>
      </c>
      <c r="J23" s="24">
        <v>0.16</v>
      </c>
      <c r="K23" s="11" t="s">
        <v>420</v>
      </c>
      <c r="L23" s="11" t="s">
        <v>278</v>
      </c>
    </row>
    <row r="24" ht="24.75" customHeight="1">
      <c r="A24" s="11" t="s">
        <v>421</v>
      </c>
      <c r="B24" s="11" t="s">
        <v>422</v>
      </c>
      <c r="C24" s="11" t="s">
        <v>423</v>
      </c>
      <c r="D24" s="11" t="s">
        <v>424</v>
      </c>
      <c r="E24" s="11" t="s">
        <v>374</v>
      </c>
      <c r="F24" s="23">
        <v>26.76</v>
      </c>
      <c r="G24" s="24">
        <f t="shared" si="1"/>
        <v>0.07495798319</v>
      </c>
      <c r="H24" s="24">
        <v>0.07200000000000001</v>
      </c>
      <c r="I24" s="24">
        <v>0.07</v>
      </c>
      <c r="J24" s="24">
        <v>0.04</v>
      </c>
      <c r="K24" s="11" t="s">
        <v>425</v>
      </c>
      <c r="L24" s="11" t="s">
        <v>274</v>
      </c>
    </row>
    <row r="25" ht="24.75" customHeight="1">
      <c r="A25" s="11" t="s">
        <v>426</v>
      </c>
      <c r="B25" s="11" t="s">
        <v>426</v>
      </c>
      <c r="C25" s="11" t="s">
        <v>313</v>
      </c>
      <c r="D25" s="11" t="s">
        <v>427</v>
      </c>
      <c r="E25" s="11" t="s">
        <v>374</v>
      </c>
      <c r="F25" s="23">
        <v>15.53</v>
      </c>
      <c r="G25" s="24">
        <f t="shared" si="1"/>
        <v>0.04350140056</v>
      </c>
      <c r="H25" s="24">
        <v>0.11</v>
      </c>
      <c r="I25" s="24">
        <v>0.13</v>
      </c>
      <c r="J25" s="24">
        <v>0.15</v>
      </c>
      <c r="K25" s="11" t="s">
        <v>318</v>
      </c>
      <c r="L25" s="11" t="s">
        <v>278</v>
      </c>
    </row>
    <row r="26" ht="24.75" customHeight="1">
      <c r="A26" s="11" t="s">
        <v>428</v>
      </c>
      <c r="B26" s="11" t="s">
        <v>429</v>
      </c>
      <c r="C26" s="11" t="s">
        <v>430</v>
      </c>
      <c r="D26" s="11" t="s">
        <v>431</v>
      </c>
      <c r="E26" s="11" t="s">
        <v>374</v>
      </c>
      <c r="F26" s="23">
        <v>12.23</v>
      </c>
      <c r="G26" s="24">
        <f t="shared" si="1"/>
        <v>0.03425770308</v>
      </c>
      <c r="H26" s="24">
        <v>0.068</v>
      </c>
      <c r="I26" s="24">
        <v>0.066</v>
      </c>
      <c r="J26" s="24">
        <v>0.012</v>
      </c>
      <c r="K26" s="11" t="s">
        <v>432</v>
      </c>
      <c r="L26" s="11" t="s">
        <v>278</v>
      </c>
    </row>
    <row r="27" ht="24.75" customHeight="1">
      <c r="A27" s="11" t="s">
        <v>433</v>
      </c>
      <c r="B27" s="11" t="s">
        <v>434</v>
      </c>
      <c r="C27" s="11" t="s">
        <v>435</v>
      </c>
      <c r="D27" s="11" t="s">
        <v>424</v>
      </c>
      <c r="E27" s="11" t="s">
        <v>374</v>
      </c>
      <c r="F27" s="23">
        <v>19.4</v>
      </c>
      <c r="G27" s="24">
        <f t="shared" si="1"/>
        <v>0.05434173669</v>
      </c>
      <c r="H27" s="24">
        <v>0.07</v>
      </c>
      <c r="I27" s="24">
        <v>0.07</v>
      </c>
      <c r="J27" s="24">
        <v>0.005</v>
      </c>
      <c r="K27" s="11" t="s">
        <v>425</v>
      </c>
      <c r="L27" s="11" t="s">
        <v>278</v>
      </c>
    </row>
    <row r="28" ht="15.75" customHeight="1"/>
    <row r="29" ht="15.75" customHeight="1"/>
    <row r="30" ht="24.0" customHeight="1">
      <c r="A30" s="6" t="s">
        <v>436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ht="27.75" customHeight="1">
      <c r="A31" s="10" t="s">
        <v>145</v>
      </c>
      <c r="B31" s="10" t="s">
        <v>437</v>
      </c>
    </row>
    <row r="32" ht="51.75" customHeight="1">
      <c r="A32" s="11" t="s">
        <v>438</v>
      </c>
      <c r="B32" s="11" t="s">
        <v>439</v>
      </c>
    </row>
    <row r="33" ht="69.75" customHeight="1">
      <c r="A33" s="11" t="s">
        <v>440</v>
      </c>
      <c r="B33" s="11" t="s">
        <v>441</v>
      </c>
    </row>
    <row r="34" ht="51.75" customHeight="1">
      <c r="A34" s="11" t="s">
        <v>432</v>
      </c>
      <c r="B34" s="11" t="s">
        <v>442</v>
      </c>
    </row>
    <row r="35" ht="51.75" customHeight="1">
      <c r="A35" s="11" t="s">
        <v>443</v>
      </c>
      <c r="B35" s="11" t="s">
        <v>444</v>
      </c>
    </row>
    <row r="36" ht="51.75" customHeight="1">
      <c r="A36" s="11" t="s">
        <v>445</v>
      </c>
      <c r="B36" s="11" t="s">
        <v>446</v>
      </c>
    </row>
    <row r="37" ht="15.75" customHeight="1"/>
    <row r="38" ht="24.0" customHeight="1">
      <c r="A38" s="27" t="s">
        <v>447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ht="90.0" customHeight="1">
      <c r="A39" s="19" t="s">
        <v>448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E20C8BE-1D6E-4820-B309-39DC5B878863}" filter="1" showAutoFilter="1">
      <autoFilter ref="$A$6:$L$27"/>
    </customSheetView>
    <customSheetView guid="{C67D9B9C-0676-40D1-B115-CB0449118494}" filter="1" showAutoFilter="1">
      <autoFilter ref="$A$31:$B$36"/>
    </customSheetView>
  </customSheetViews>
  <mergeCells count="7">
    <mergeCell ref="A1:L1"/>
    <mergeCell ref="A2:L2"/>
    <mergeCell ref="A3:L3"/>
    <mergeCell ref="A5:L5"/>
    <mergeCell ref="A30:L30"/>
    <mergeCell ref="A38:L38"/>
    <mergeCell ref="A39:L39"/>
  </mergeCells>
  <conditionalFormatting sqref="G7:G27">
    <cfRule type="colorScale" priority="1">
      <colorScale>
        <cfvo type="min"/>
        <cfvo type="percentile" val="70"/>
        <cfvo type="max"/>
        <color rgb="FFE2F0D9"/>
        <color rgb="FFFFF2CC"/>
        <color rgb="FFF4CCCC"/>
      </colorScale>
    </cfRule>
  </conditionalFormatting>
  <printOptions/>
  <pageMargins bottom="0.4" footer="0.0" header="0.0" left="0.25" right="0.25" top="0.4"/>
  <pageSetup fitToHeight="0" orientation="landscape"/>
  <drawing r:id="rId2"/>
  <legacyDrawing r:id="rId3"/>
  <tableParts count="2"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75B5"/>
    <pageSetUpPr fitToPage="1"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55.0"/>
    <col customWidth="1" min="4" max="4" width="26.0"/>
    <col customWidth="1" min="5" max="5" width="24.0"/>
    <col customWidth="1" min="6" max="6" width="14.0"/>
    <col customWidth="1" min="7" max="7" width="50.0"/>
    <col customWidth="1" min="8" max="12" width="24.0"/>
  </cols>
  <sheetData>
    <row r="1" ht="33.75" customHeight="1">
      <c r="A1" s="1" t="s">
        <v>287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51.75" customHeight="1">
      <c r="A2" s="22" t="s">
        <v>288</v>
      </c>
    </row>
    <row r="3" ht="27.75" customHeight="1">
      <c r="A3" s="4" t="s">
        <v>290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ht="24.0" customHeight="1">
      <c r="A5" s="6" t="s">
        <v>295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ht="27.75" customHeight="1">
      <c r="A6" s="10" t="s">
        <v>296</v>
      </c>
      <c r="B6" s="10" t="s">
        <v>297</v>
      </c>
      <c r="C6" s="10" t="s">
        <v>299</v>
      </c>
      <c r="D6" s="10" t="s">
        <v>301</v>
      </c>
      <c r="E6" s="10" t="s">
        <v>303</v>
      </c>
      <c r="F6" s="10" t="s">
        <v>305</v>
      </c>
      <c r="G6" s="10" t="s">
        <v>37</v>
      </c>
    </row>
    <row r="7" ht="24.75" customHeight="1">
      <c r="A7" s="11" t="s">
        <v>306</v>
      </c>
      <c r="B7" s="11" t="s">
        <v>307</v>
      </c>
      <c r="C7" s="11" t="s">
        <v>48</v>
      </c>
      <c r="D7" s="11" t="s">
        <v>308</v>
      </c>
      <c r="E7" s="11" t="s">
        <v>48</v>
      </c>
      <c r="F7" s="11" t="s">
        <v>309</v>
      </c>
      <c r="G7" s="11" t="s">
        <v>312</v>
      </c>
    </row>
    <row r="8" ht="24.75" customHeight="1">
      <c r="A8" s="11" t="s">
        <v>315</v>
      </c>
      <c r="B8" s="11" t="s">
        <v>316</v>
      </c>
      <c r="C8" s="11" t="s">
        <v>56</v>
      </c>
      <c r="D8" s="11" t="s">
        <v>317</v>
      </c>
      <c r="E8" s="11" t="s">
        <v>56</v>
      </c>
      <c r="F8" s="11" t="s">
        <v>309</v>
      </c>
      <c r="G8" s="11" t="s">
        <v>319</v>
      </c>
    </row>
    <row r="9" ht="37.5" customHeight="1">
      <c r="A9" s="11" t="s">
        <v>321</v>
      </c>
      <c r="B9" s="11" t="s">
        <v>323</v>
      </c>
      <c r="C9" s="11" t="s">
        <v>324</v>
      </c>
      <c r="D9" s="11" t="s">
        <v>325</v>
      </c>
      <c r="E9" s="11" t="s">
        <v>309</v>
      </c>
      <c r="F9" s="11" t="s">
        <v>326</v>
      </c>
    </row>
    <row r="10" ht="37.5" customHeight="1">
      <c r="A10" s="11" t="s">
        <v>327</v>
      </c>
      <c r="B10" s="11" t="s">
        <v>328</v>
      </c>
      <c r="C10" s="11" t="s">
        <v>329</v>
      </c>
      <c r="D10" s="11" t="s">
        <v>330</v>
      </c>
      <c r="E10" s="11" t="s">
        <v>333</v>
      </c>
      <c r="F10" s="11" t="s">
        <v>334</v>
      </c>
    </row>
    <row r="11" ht="24.75" customHeight="1">
      <c r="A11" s="11" t="s">
        <v>336</v>
      </c>
      <c r="B11" s="11" t="s">
        <v>337</v>
      </c>
      <c r="C11" s="11" t="s">
        <v>338</v>
      </c>
      <c r="D11" s="11" t="s">
        <v>337</v>
      </c>
      <c r="E11" s="11" t="s">
        <v>339</v>
      </c>
      <c r="F11" s="11" t="s">
        <v>340</v>
      </c>
    </row>
    <row r="12" ht="24.75" customHeight="1">
      <c r="A12" s="11" t="s">
        <v>342</v>
      </c>
      <c r="B12" s="11" t="s">
        <v>344</v>
      </c>
      <c r="C12" s="11" t="s">
        <v>345</v>
      </c>
      <c r="D12" s="11" t="s">
        <v>346</v>
      </c>
      <c r="E12" s="11" t="s">
        <v>339</v>
      </c>
      <c r="F12" s="11" t="s">
        <v>347</v>
      </c>
    </row>
    <row r="13" ht="24.75" customHeight="1">
      <c r="A13" s="11" t="s">
        <v>190</v>
      </c>
      <c r="B13" s="11" t="s">
        <v>348</v>
      </c>
      <c r="C13" s="11" t="s">
        <v>349</v>
      </c>
      <c r="D13" s="11" t="s">
        <v>350</v>
      </c>
      <c r="E13" s="11" t="s">
        <v>339</v>
      </c>
      <c r="F13" s="11" t="s">
        <v>353</v>
      </c>
    </row>
    <row r="15" ht="24.0" customHeight="1">
      <c r="A15" s="6" t="s">
        <v>355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27.75" customHeight="1">
      <c r="A16" s="10" t="s">
        <v>356</v>
      </c>
      <c r="B16" s="10" t="s">
        <v>357</v>
      </c>
    </row>
    <row r="17" ht="69.75" customHeight="1">
      <c r="A17" s="11" t="s">
        <v>358</v>
      </c>
      <c r="B17" s="11" t="s">
        <v>359</v>
      </c>
    </row>
    <row r="18" ht="51.75" customHeight="1">
      <c r="A18" s="11" t="s">
        <v>362</v>
      </c>
      <c r="B18" s="11" t="s">
        <v>363</v>
      </c>
    </row>
    <row r="19" ht="69.75" customHeight="1">
      <c r="A19" s="11" t="s">
        <v>364</v>
      </c>
      <c r="B19" s="11" t="s">
        <v>365</v>
      </c>
    </row>
    <row r="20" ht="69.75" customHeight="1">
      <c r="A20" s="11" t="s">
        <v>366</v>
      </c>
      <c r="B20" s="11" t="s">
        <v>367</v>
      </c>
    </row>
    <row r="21" ht="69.75" customHeight="1">
      <c r="A21" s="11" t="s">
        <v>368</v>
      </c>
      <c r="B21" s="11" t="s">
        <v>369</v>
      </c>
    </row>
    <row r="22" ht="15.75" customHeight="1"/>
    <row r="23" ht="24.0" customHeight="1">
      <c r="A23" s="6" t="s">
        <v>371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ht="27.75" customHeight="1">
      <c r="A24" s="10" t="s">
        <v>375</v>
      </c>
      <c r="B24" s="10" t="s">
        <v>376</v>
      </c>
      <c r="C24" s="10" t="s">
        <v>377</v>
      </c>
    </row>
    <row r="25" ht="24.75" customHeight="1">
      <c r="A25" s="11" t="s">
        <v>378</v>
      </c>
      <c r="B25" s="11" t="s">
        <v>380</v>
      </c>
      <c r="C25" s="11" t="s">
        <v>381</v>
      </c>
    </row>
    <row r="26" ht="24.75" customHeight="1">
      <c r="A26" s="11" t="s">
        <v>383</v>
      </c>
      <c r="B26" s="11" t="s">
        <v>385</v>
      </c>
      <c r="C26" s="11" t="s">
        <v>386</v>
      </c>
    </row>
    <row r="27" ht="24.75" customHeight="1">
      <c r="A27" s="11" t="s">
        <v>388</v>
      </c>
      <c r="B27" s="11" t="s">
        <v>389</v>
      </c>
      <c r="C27" s="11" t="s">
        <v>390</v>
      </c>
    </row>
    <row r="28" ht="24.75" customHeight="1">
      <c r="A28" s="11" t="s">
        <v>391</v>
      </c>
      <c r="B28" s="11" t="s">
        <v>392</v>
      </c>
      <c r="C28" s="11" t="s">
        <v>393</v>
      </c>
    </row>
    <row r="29" ht="24.75" customHeight="1">
      <c r="A29" s="11" t="s">
        <v>394</v>
      </c>
      <c r="B29" s="11" t="s">
        <v>396</v>
      </c>
      <c r="C29" s="11" t="s">
        <v>398</v>
      </c>
    </row>
    <row r="30" ht="24.75" customHeight="1">
      <c r="A30" s="11" t="s">
        <v>399</v>
      </c>
      <c r="B30" s="11" t="s">
        <v>400</v>
      </c>
      <c r="C30" s="11" t="s">
        <v>401</v>
      </c>
    </row>
    <row r="31" ht="15.75" customHeight="1"/>
    <row r="32" ht="37.5" customHeight="1">
      <c r="A32" s="25" t="s">
        <v>403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ht="69.75" customHeight="1">
      <c r="A33" s="19" t="s">
        <v>406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1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12B2DAE-0DC4-43A8-AEBB-CCAA57A82DF2}" filter="1" showAutoFilter="1">
      <autoFilter ref="$A$24:$C$30"/>
    </customSheetView>
    <customSheetView guid="{F35E2C95-5F67-4324-8217-309E05F7012F}" filter="1" showAutoFilter="1">
      <autoFilter ref="$A$6:$G$13"/>
    </customSheetView>
    <customSheetView guid="{F1947687-58F3-4849-8BD2-761014E1CBF1}" filter="1" showAutoFilter="1">
      <autoFilter ref="$A$16:$B$21"/>
    </customSheetView>
  </customSheetViews>
  <mergeCells count="8">
    <mergeCell ref="A1:L1"/>
    <mergeCell ref="A2:L2"/>
    <mergeCell ref="A3:L3"/>
    <mergeCell ref="A5:L5"/>
    <mergeCell ref="A15:L15"/>
    <mergeCell ref="A23:L23"/>
    <mergeCell ref="A32:L32"/>
    <mergeCell ref="A33:L33"/>
  </mergeCells>
  <printOptions/>
  <pageMargins bottom="0.4" footer="0.0" header="0.0" left="0.25" right="0.25" top="0.4"/>
  <pageSetup fitToHeight="0" orientation="landscape"/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64A2"/>
    <pageSetUpPr fitToPage="1"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41.43"/>
    <col customWidth="1" min="3" max="3" width="15.0"/>
    <col customWidth="1" min="4" max="4" width="22.0"/>
    <col customWidth="1" min="5" max="5" width="24.0"/>
    <col customWidth="1" min="6" max="7" width="26.0"/>
    <col customWidth="1" min="8" max="12" width="24.0"/>
  </cols>
  <sheetData>
    <row r="1" ht="33.75" customHeight="1">
      <c r="A1" s="1" t="s">
        <v>449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4.75" customHeight="1">
      <c r="A2" s="4" t="s">
        <v>450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.0" customHeight="1">
      <c r="A4" s="7" t="s">
        <v>451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27.75" customHeight="1">
      <c r="A5" s="10" t="s">
        <v>452</v>
      </c>
      <c r="B5" s="10" t="s">
        <v>261</v>
      </c>
      <c r="C5" s="10" t="s">
        <v>262</v>
      </c>
      <c r="D5" s="10" t="s">
        <v>453</v>
      </c>
    </row>
    <row r="6" ht="24.75" customHeight="1">
      <c r="A6" s="11" t="s">
        <v>454</v>
      </c>
      <c r="B6" s="23">
        <v>252.74</v>
      </c>
      <c r="C6" s="24">
        <f t="shared" ref="C6:C10" si="1">B6/SUM($B$6:$B$10)</f>
        <v>0.7079551821</v>
      </c>
      <c r="D6" s="11" t="s">
        <v>455</v>
      </c>
    </row>
    <row r="7" ht="24.75" customHeight="1">
      <c r="A7" s="11" t="s">
        <v>424</v>
      </c>
      <c r="B7" s="23">
        <v>46.16</v>
      </c>
      <c r="C7" s="24">
        <f t="shared" si="1"/>
        <v>0.1292997199</v>
      </c>
      <c r="D7" s="11" t="s">
        <v>455</v>
      </c>
    </row>
    <row r="8" ht="24.75" customHeight="1">
      <c r="A8" s="11" t="s">
        <v>456</v>
      </c>
      <c r="B8" s="23">
        <v>27.24</v>
      </c>
      <c r="C8" s="24">
        <f t="shared" si="1"/>
        <v>0.07630252101</v>
      </c>
      <c r="D8" s="11" t="s">
        <v>457</v>
      </c>
    </row>
    <row r="9" ht="24.75" customHeight="1">
      <c r="A9" s="11" t="s">
        <v>284</v>
      </c>
      <c r="B9" s="23">
        <v>18.63</v>
      </c>
      <c r="C9" s="24">
        <f t="shared" si="1"/>
        <v>0.05218487395</v>
      </c>
      <c r="D9" s="11" t="s">
        <v>457</v>
      </c>
    </row>
    <row r="10" ht="24.75" customHeight="1">
      <c r="A10" s="11" t="s">
        <v>458</v>
      </c>
      <c r="B10" s="23">
        <v>12.23</v>
      </c>
      <c r="C10" s="24">
        <f t="shared" si="1"/>
        <v>0.03425770308</v>
      </c>
      <c r="D10" s="11" t="s">
        <v>457</v>
      </c>
    </row>
    <row r="20" ht="15.75" customHeight="1"/>
    <row r="21" ht="24.0" customHeight="1">
      <c r="A21" s="6" t="s">
        <v>460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ht="27.75" customHeight="1">
      <c r="A22" s="29" t="s">
        <v>463</v>
      </c>
      <c r="B22" s="29" t="s">
        <v>261</v>
      </c>
      <c r="C22" s="29" t="s">
        <v>262</v>
      </c>
      <c r="D22" s="29" t="s">
        <v>464</v>
      </c>
    </row>
    <row r="23" ht="24.75" customHeight="1">
      <c r="A23" s="30" t="s">
        <v>424</v>
      </c>
      <c r="B23" s="31">
        <v>38.09</v>
      </c>
      <c r="C23" s="32">
        <v>0.1269666666666666</v>
      </c>
      <c r="D23" s="30" t="s">
        <v>467</v>
      </c>
    </row>
    <row r="24" ht="24.75" customHeight="1">
      <c r="A24" s="33" t="s">
        <v>271</v>
      </c>
      <c r="B24" s="34">
        <v>34.92</v>
      </c>
      <c r="C24" s="35">
        <v>0.1164</v>
      </c>
      <c r="D24" s="33" t="s">
        <v>472</v>
      </c>
    </row>
    <row r="25" ht="24.75" customHeight="1">
      <c r="A25" s="30" t="s">
        <v>373</v>
      </c>
      <c r="B25" s="31">
        <v>31.75</v>
      </c>
      <c r="C25" s="32">
        <v>0.1058333333333333</v>
      </c>
      <c r="D25" s="30" t="s">
        <v>472</v>
      </c>
    </row>
    <row r="26" ht="24.75" customHeight="1">
      <c r="A26" s="33" t="s">
        <v>410</v>
      </c>
      <c r="B26" s="34">
        <v>25.4</v>
      </c>
      <c r="C26" s="35">
        <v>0.08466666666666667</v>
      </c>
      <c r="D26" s="33" t="s">
        <v>472</v>
      </c>
    </row>
    <row r="27" ht="24.75" customHeight="1">
      <c r="A27" s="30" t="s">
        <v>304</v>
      </c>
      <c r="B27" s="31">
        <v>19.58</v>
      </c>
      <c r="C27" s="32">
        <v>0.06526666666666667</v>
      </c>
      <c r="D27" s="30" t="s">
        <v>472</v>
      </c>
    </row>
    <row r="28" ht="24.75" customHeight="1">
      <c r="A28" s="33" t="s">
        <v>277</v>
      </c>
      <c r="B28" s="34">
        <v>19.05</v>
      </c>
      <c r="C28" s="35">
        <v>0.0635</v>
      </c>
      <c r="D28" s="33" t="s">
        <v>472</v>
      </c>
    </row>
    <row r="29" ht="24.75" customHeight="1">
      <c r="A29" s="30" t="s">
        <v>418</v>
      </c>
      <c r="B29" s="31">
        <v>19.05</v>
      </c>
      <c r="C29" s="32">
        <v>0.0635</v>
      </c>
      <c r="D29" s="30" t="s">
        <v>472</v>
      </c>
    </row>
    <row r="30" ht="24.75" customHeight="1">
      <c r="A30" s="33" t="s">
        <v>294</v>
      </c>
      <c r="B30" s="34">
        <v>19.05</v>
      </c>
      <c r="C30" s="35">
        <v>0.06349999999999999</v>
      </c>
      <c r="D30" s="33" t="s">
        <v>472</v>
      </c>
    </row>
    <row r="31" ht="24.75" customHeight="1">
      <c r="A31" s="30" t="s">
        <v>281</v>
      </c>
      <c r="B31" s="31">
        <v>15.87</v>
      </c>
      <c r="C31" s="32">
        <v>0.0529</v>
      </c>
      <c r="D31" s="30" t="s">
        <v>481</v>
      </c>
    </row>
    <row r="32" ht="24.75" customHeight="1">
      <c r="A32" s="33" t="s">
        <v>285</v>
      </c>
      <c r="B32" s="34">
        <v>15.87</v>
      </c>
      <c r="C32" s="35">
        <v>0.0529</v>
      </c>
      <c r="D32" s="33" t="s">
        <v>481</v>
      </c>
    </row>
    <row r="33" ht="24.75" customHeight="1">
      <c r="A33" s="30" t="s">
        <v>387</v>
      </c>
      <c r="B33" s="31">
        <v>15.87</v>
      </c>
      <c r="C33" s="32">
        <v>0.0529</v>
      </c>
      <c r="D33" s="30" t="s">
        <v>481</v>
      </c>
    </row>
    <row r="34" ht="24.75" customHeight="1">
      <c r="A34" s="33" t="s">
        <v>427</v>
      </c>
      <c r="B34" s="34">
        <v>12.7</v>
      </c>
      <c r="C34" s="35">
        <v>0.04233333333333333</v>
      </c>
      <c r="D34" s="33" t="s">
        <v>481</v>
      </c>
    </row>
    <row r="35" ht="24.75" customHeight="1">
      <c r="A35" s="30" t="s">
        <v>431</v>
      </c>
      <c r="B35" s="31">
        <v>10.58</v>
      </c>
      <c r="C35" s="32">
        <v>0.03526666666666667</v>
      </c>
      <c r="D35" s="30" t="s">
        <v>481</v>
      </c>
    </row>
    <row r="36" ht="24.75" customHeight="1">
      <c r="A36" s="36" t="s">
        <v>314</v>
      </c>
      <c r="B36" s="34">
        <v>9.52</v>
      </c>
      <c r="C36" s="35">
        <v>0.03173333333333333</v>
      </c>
      <c r="D36" s="33" t="s">
        <v>481</v>
      </c>
    </row>
    <row r="37" ht="24.0" customHeight="1">
      <c r="A37" s="37" t="s">
        <v>491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1"/>
    </row>
    <row r="38" ht="27.75" customHeight="1">
      <c r="A38" s="38" t="s">
        <v>495</v>
      </c>
      <c r="B38" s="40" t="s">
        <v>500</v>
      </c>
    </row>
    <row r="39" ht="51.75" customHeight="1">
      <c r="A39" s="11" t="s">
        <v>503</v>
      </c>
      <c r="B39" s="11" t="s">
        <v>505</v>
      </c>
    </row>
    <row r="40" ht="51.75" customHeight="1">
      <c r="A40" s="11" t="s">
        <v>477</v>
      </c>
      <c r="B40" s="11" t="s">
        <v>510</v>
      </c>
    </row>
    <row r="41" ht="69.75" customHeight="1">
      <c r="A41" s="11" t="s">
        <v>512</v>
      </c>
      <c r="B41" s="11" t="s">
        <v>514</v>
      </c>
    </row>
    <row r="42" ht="69.75" customHeight="1">
      <c r="A42" s="11" t="s">
        <v>519</v>
      </c>
      <c r="B42" s="11" t="s">
        <v>524</v>
      </c>
    </row>
    <row r="43" ht="51.75" customHeight="1">
      <c r="A43" s="11" t="s">
        <v>534</v>
      </c>
      <c r="B43" s="11" t="s">
        <v>541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ustomSheetViews>
    <customSheetView guid="{89A4457C-7FCC-4EC4-A8BC-64F4AE23CBA2}" filter="1" showAutoFilter="1">
      <autoFilter ref="$A$5:$D$10"/>
    </customSheetView>
  </customSheetViews>
  <mergeCells count="5">
    <mergeCell ref="A1:L1"/>
    <mergeCell ref="A2:L2"/>
    <mergeCell ref="A4:L4"/>
    <mergeCell ref="A21:L21"/>
    <mergeCell ref="A37:L37"/>
  </mergeCells>
  <printOptions/>
  <pageMargins bottom="0.4" footer="0.0" header="0.0" left="0.25" right="0.25" top="0.4"/>
  <pageSetup fitToHeight="0" orientation="landscape"/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 fitToPage="1"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02.0"/>
    <col customWidth="1" min="3" max="3" width="18.0"/>
    <col customWidth="1" min="4" max="4" width="14.0"/>
    <col customWidth="1" min="5" max="5" width="26.0"/>
    <col customWidth="1" min="6" max="7" width="15.0"/>
    <col customWidth="1" min="8" max="10" width="24.0"/>
  </cols>
  <sheetData>
    <row r="1" ht="33.75" customHeight="1">
      <c r="A1" s="1" t="s">
        <v>397</v>
      </c>
      <c r="B1" s="2"/>
      <c r="C1" s="2"/>
      <c r="D1" s="2"/>
      <c r="E1" s="2"/>
      <c r="F1" s="2"/>
      <c r="G1" s="2"/>
      <c r="H1" s="2"/>
      <c r="I1" s="2"/>
      <c r="J1" s="2"/>
    </row>
    <row r="2" ht="51.75" customHeight="1">
      <c r="A2" s="22" t="s">
        <v>402</v>
      </c>
    </row>
    <row r="4" ht="24.0" customHeight="1">
      <c r="A4" s="7" t="s">
        <v>404</v>
      </c>
      <c r="B4" s="2"/>
      <c r="C4" s="2"/>
      <c r="D4" s="2"/>
      <c r="E4" s="2"/>
      <c r="F4" s="2"/>
      <c r="G4" s="2"/>
      <c r="H4" s="2"/>
      <c r="I4" s="2"/>
      <c r="J4" s="2"/>
    </row>
    <row r="5" ht="27.75" customHeight="1">
      <c r="A5" s="10" t="s">
        <v>409</v>
      </c>
      <c r="B5" s="10" t="s">
        <v>411</v>
      </c>
      <c r="C5" s="10" t="s">
        <v>262</v>
      </c>
      <c r="D5" s="10" t="s">
        <v>413</v>
      </c>
      <c r="E5" s="10" t="s">
        <v>417</v>
      </c>
      <c r="F5" s="10" t="s">
        <v>264</v>
      </c>
      <c r="G5" s="10" t="s">
        <v>419</v>
      </c>
    </row>
    <row r="6" ht="24.75" customHeight="1">
      <c r="A6" s="11" t="s">
        <v>268</v>
      </c>
      <c r="B6" s="26">
        <v>32.61</v>
      </c>
      <c r="C6" s="24">
        <f t="shared" ref="C6:C26" si="1">B6/SUM($B$6:$B$26)</f>
        <v>0.09134453782</v>
      </c>
      <c r="D6" s="24">
        <v>0.21</v>
      </c>
      <c r="E6" s="24">
        <f t="shared" ref="E6:E26" si="2">C6*D6</f>
        <v>0.01918235294</v>
      </c>
      <c r="F6" s="24">
        <v>0.185</v>
      </c>
      <c r="G6" s="24">
        <v>0.31</v>
      </c>
    </row>
    <row r="7" ht="24.75" customHeight="1">
      <c r="A7" s="11" t="s">
        <v>275</v>
      </c>
      <c r="B7" s="23">
        <v>22.04</v>
      </c>
      <c r="C7" s="24">
        <f t="shared" si="1"/>
        <v>0.06173669468</v>
      </c>
      <c r="D7" s="24">
        <v>0.08</v>
      </c>
      <c r="E7" s="24">
        <f t="shared" si="2"/>
        <v>0.004938935574</v>
      </c>
      <c r="F7" s="24">
        <v>0.092</v>
      </c>
      <c r="G7" s="24">
        <v>0.23</v>
      </c>
    </row>
    <row r="8" ht="24.75" customHeight="1">
      <c r="A8" s="11" t="s">
        <v>279</v>
      </c>
      <c r="B8" s="23">
        <v>18.7</v>
      </c>
      <c r="C8" s="24">
        <f t="shared" si="1"/>
        <v>0.05238095238</v>
      </c>
      <c r="D8" s="24">
        <v>0.18</v>
      </c>
      <c r="E8" s="24">
        <f t="shared" si="2"/>
        <v>0.009428571429</v>
      </c>
      <c r="F8" s="24">
        <v>0.168</v>
      </c>
      <c r="G8" s="24">
        <v>0.24</v>
      </c>
    </row>
    <row r="9" ht="24.75" customHeight="1">
      <c r="A9" s="11" t="s">
        <v>282</v>
      </c>
      <c r="B9" s="23">
        <v>18.63</v>
      </c>
      <c r="C9" s="24">
        <f t="shared" si="1"/>
        <v>0.05218487395</v>
      </c>
      <c r="D9" s="24">
        <v>0.42</v>
      </c>
      <c r="E9" s="24">
        <f t="shared" si="2"/>
        <v>0.02191764706</v>
      </c>
      <c r="F9" s="24">
        <v>0.28</v>
      </c>
      <c r="G9" s="24">
        <v>0.62</v>
      </c>
    </row>
    <row r="10" ht="24.75" customHeight="1">
      <c r="A10" s="11" t="s">
        <v>291</v>
      </c>
      <c r="B10" s="23">
        <v>15.45</v>
      </c>
      <c r="C10" s="24">
        <f t="shared" si="1"/>
        <v>0.04327731092</v>
      </c>
      <c r="D10" s="24">
        <v>0.16</v>
      </c>
      <c r="E10" s="24">
        <f t="shared" si="2"/>
        <v>0.006924369748</v>
      </c>
      <c r="F10" s="24">
        <v>0.202</v>
      </c>
      <c r="G10" s="24">
        <v>0.26</v>
      </c>
    </row>
    <row r="11" ht="24.75" customHeight="1">
      <c r="A11" s="11" t="s">
        <v>300</v>
      </c>
      <c r="B11" s="23">
        <v>13.46</v>
      </c>
      <c r="C11" s="24">
        <f t="shared" si="1"/>
        <v>0.03770308123</v>
      </c>
      <c r="D11" s="24">
        <v>0.06</v>
      </c>
      <c r="E11" s="24">
        <f t="shared" si="2"/>
        <v>0.002262184874</v>
      </c>
      <c r="F11" s="24">
        <v>0.085</v>
      </c>
      <c r="G11" s="24">
        <v>0.18</v>
      </c>
    </row>
    <row r="12" ht="24.75" customHeight="1">
      <c r="A12" s="11" t="s">
        <v>310</v>
      </c>
      <c r="B12" s="23">
        <v>11.71</v>
      </c>
      <c r="C12" s="24">
        <f t="shared" si="1"/>
        <v>0.03280112045</v>
      </c>
      <c r="D12" s="24">
        <v>0.15</v>
      </c>
      <c r="E12" s="24">
        <f t="shared" si="2"/>
        <v>0.004920168067</v>
      </c>
      <c r="F12" s="24">
        <v>0.12</v>
      </c>
      <c r="G12" s="24">
        <v>0.27</v>
      </c>
    </row>
    <row r="13" ht="24.75" customHeight="1">
      <c r="A13" s="11" t="s">
        <v>320</v>
      </c>
      <c r="B13" s="23">
        <v>9.84</v>
      </c>
      <c r="C13" s="24">
        <f t="shared" si="1"/>
        <v>0.02756302521</v>
      </c>
      <c r="D13" s="24">
        <v>-0.08</v>
      </c>
      <c r="E13" s="24">
        <f t="shared" si="2"/>
        <v>-0.002205042017</v>
      </c>
      <c r="F13" s="24">
        <v>0.1</v>
      </c>
      <c r="G13" s="24">
        <v>0.24</v>
      </c>
    </row>
    <row r="14" ht="24.75" customHeight="1">
      <c r="A14" s="11" t="s">
        <v>331</v>
      </c>
      <c r="B14" s="23">
        <v>7.56</v>
      </c>
      <c r="C14" s="24">
        <f t="shared" si="1"/>
        <v>0.02117647059</v>
      </c>
      <c r="D14" s="24">
        <v>-0.04</v>
      </c>
      <c r="E14" s="24">
        <f t="shared" si="2"/>
        <v>-0.0008470588235</v>
      </c>
      <c r="F14" s="24">
        <v>0.025</v>
      </c>
      <c r="G14" s="24">
        <v>0.29</v>
      </c>
    </row>
    <row r="15" ht="24.75" customHeight="1">
      <c r="A15" s="11" t="s">
        <v>341</v>
      </c>
      <c r="B15" s="23">
        <v>9.19</v>
      </c>
      <c r="C15" s="24">
        <f t="shared" si="1"/>
        <v>0.02574229692</v>
      </c>
      <c r="D15" s="24">
        <v>0.28</v>
      </c>
      <c r="E15" s="24">
        <f t="shared" si="2"/>
        <v>0.007207843137</v>
      </c>
      <c r="F15" s="24">
        <v>0.34</v>
      </c>
      <c r="G15" s="24">
        <v>0.42</v>
      </c>
    </row>
    <row r="16" ht="24.75" customHeight="1">
      <c r="A16" s="11" t="s">
        <v>351</v>
      </c>
      <c r="B16" s="23">
        <v>7.45</v>
      </c>
      <c r="C16" s="24">
        <f t="shared" si="1"/>
        <v>0.02086834734</v>
      </c>
      <c r="D16" s="24">
        <v>0.2</v>
      </c>
      <c r="E16" s="24">
        <f t="shared" si="2"/>
        <v>0.004173669468</v>
      </c>
      <c r="F16" s="24">
        <v>0.19</v>
      </c>
      <c r="G16" s="24">
        <v>0.31</v>
      </c>
    </row>
    <row r="17" ht="24.75" customHeight="1">
      <c r="A17" s="11" t="s">
        <v>360</v>
      </c>
      <c r="B17" s="23">
        <v>7.6</v>
      </c>
      <c r="C17" s="24">
        <f t="shared" si="1"/>
        <v>0.02128851541</v>
      </c>
      <c r="D17" s="24">
        <v>0.24</v>
      </c>
      <c r="E17" s="24">
        <f t="shared" si="2"/>
        <v>0.005109243697</v>
      </c>
      <c r="F17" s="24">
        <v>0.21</v>
      </c>
      <c r="G17" s="24">
        <v>0.27</v>
      </c>
    </row>
    <row r="18" ht="24.75" customHeight="1">
      <c r="A18" s="11" t="s">
        <v>370</v>
      </c>
      <c r="B18" s="23">
        <v>22.04</v>
      </c>
      <c r="C18" s="24">
        <f t="shared" si="1"/>
        <v>0.06173669468</v>
      </c>
      <c r="D18" s="24">
        <v>0.1</v>
      </c>
      <c r="E18" s="24">
        <f t="shared" si="2"/>
        <v>0.006173669468</v>
      </c>
      <c r="F18" s="24">
        <v>0.14</v>
      </c>
      <c r="G18" s="24">
        <v>0.2</v>
      </c>
    </row>
    <row r="19" ht="24.75" customHeight="1">
      <c r="A19" s="11" t="s">
        <v>382</v>
      </c>
      <c r="B19" s="23">
        <v>18.59</v>
      </c>
      <c r="C19" s="24">
        <f t="shared" si="1"/>
        <v>0.05207282913</v>
      </c>
      <c r="D19" s="24">
        <v>0.07</v>
      </c>
      <c r="E19" s="24">
        <f t="shared" si="2"/>
        <v>0.003645098039</v>
      </c>
      <c r="F19" s="24">
        <v>0.15</v>
      </c>
      <c r="G19" s="24">
        <v>0.24</v>
      </c>
    </row>
    <row r="20" ht="24.75" customHeight="1">
      <c r="A20" s="11" t="s">
        <v>395</v>
      </c>
      <c r="B20" s="23">
        <v>15.36</v>
      </c>
      <c r="C20" s="24">
        <f t="shared" si="1"/>
        <v>0.04302521008</v>
      </c>
      <c r="D20" s="24">
        <v>0.14</v>
      </c>
      <c r="E20" s="24">
        <f t="shared" si="2"/>
        <v>0.006023529412</v>
      </c>
      <c r="F20" s="24">
        <v>0.18</v>
      </c>
      <c r="G20" s="24">
        <v>0.22</v>
      </c>
    </row>
    <row r="21" ht="24.75" customHeight="1">
      <c r="A21" s="11" t="s">
        <v>405</v>
      </c>
      <c r="B21" s="23">
        <v>30.5</v>
      </c>
      <c r="C21" s="24">
        <f t="shared" si="1"/>
        <v>0.08543417367</v>
      </c>
      <c r="D21" s="24">
        <v>0.12</v>
      </c>
      <c r="E21" s="24">
        <f t="shared" si="2"/>
        <v>0.01025210084</v>
      </c>
      <c r="F21" s="24">
        <v>0.135</v>
      </c>
      <c r="G21" s="24">
        <v>0.17</v>
      </c>
    </row>
    <row r="22" ht="24.75" customHeight="1">
      <c r="A22" s="11" t="s">
        <v>414</v>
      </c>
      <c r="B22" s="23">
        <v>22.35</v>
      </c>
      <c r="C22" s="24">
        <f t="shared" si="1"/>
        <v>0.06260504202</v>
      </c>
      <c r="D22" s="24">
        <v>0.13</v>
      </c>
      <c r="E22" s="24">
        <f t="shared" si="2"/>
        <v>0.008138655462</v>
      </c>
      <c r="F22" s="24">
        <v>0.145</v>
      </c>
      <c r="G22" s="24">
        <v>0.16</v>
      </c>
    </row>
    <row r="23" ht="24.75" customHeight="1">
      <c r="A23" s="11" t="s">
        <v>421</v>
      </c>
      <c r="B23" s="23">
        <v>26.76</v>
      </c>
      <c r="C23" s="24">
        <f t="shared" si="1"/>
        <v>0.07495798319</v>
      </c>
      <c r="D23" s="24">
        <v>0.07200000000000001</v>
      </c>
      <c r="E23" s="24">
        <f t="shared" si="2"/>
        <v>0.00539697479</v>
      </c>
      <c r="F23" s="24">
        <v>0.07</v>
      </c>
      <c r="G23" s="24">
        <v>0.04</v>
      </c>
    </row>
    <row r="24" ht="24.75" customHeight="1">
      <c r="A24" s="11" t="s">
        <v>426</v>
      </c>
      <c r="B24" s="23">
        <v>15.53</v>
      </c>
      <c r="C24" s="24">
        <f t="shared" si="1"/>
        <v>0.04350140056</v>
      </c>
      <c r="D24" s="24">
        <v>0.11</v>
      </c>
      <c r="E24" s="24">
        <f t="shared" si="2"/>
        <v>0.004785154062</v>
      </c>
      <c r="F24" s="24">
        <v>0.13</v>
      </c>
      <c r="G24" s="24">
        <v>0.15</v>
      </c>
    </row>
    <row r="25" ht="24.75" customHeight="1">
      <c r="A25" s="11" t="s">
        <v>428</v>
      </c>
      <c r="B25" s="23">
        <v>12.23</v>
      </c>
      <c r="C25" s="24">
        <f t="shared" si="1"/>
        <v>0.03425770308</v>
      </c>
      <c r="D25" s="24">
        <v>0.068</v>
      </c>
      <c r="E25" s="24">
        <f t="shared" si="2"/>
        <v>0.00232952381</v>
      </c>
      <c r="F25" s="24">
        <v>0.066</v>
      </c>
      <c r="G25" s="24">
        <v>0.012</v>
      </c>
    </row>
    <row r="26" ht="24.75" customHeight="1">
      <c r="A26" s="11" t="s">
        <v>433</v>
      </c>
      <c r="B26" s="23">
        <v>19.4</v>
      </c>
      <c r="C26" s="24">
        <f t="shared" si="1"/>
        <v>0.05434173669</v>
      </c>
      <c r="D26" s="24">
        <v>0.07</v>
      </c>
      <c r="E26" s="24">
        <f t="shared" si="2"/>
        <v>0.003803921569</v>
      </c>
      <c r="F26" s="24">
        <v>0.07</v>
      </c>
      <c r="G26" s="24">
        <v>0.005</v>
      </c>
    </row>
    <row r="27" ht="15.75" customHeight="1">
      <c r="A27" s="47" t="s">
        <v>597</v>
      </c>
      <c r="B27" s="48">
        <f t="shared" ref="B27:C27" si="3">SUM(B6:B26)</f>
        <v>357</v>
      </c>
      <c r="C27" s="49">
        <f t="shared" si="3"/>
        <v>1</v>
      </c>
      <c r="D27" s="50"/>
      <c r="E27" s="49">
        <f>SUM(E6:E26)</f>
        <v>0.1335615126</v>
      </c>
      <c r="F27" s="49">
        <f>SUMPRODUCT(C6:C26,F6:F26)</f>
        <v>0.1441239776</v>
      </c>
      <c r="G27" s="49">
        <f>SUMPRODUCT(C6:C26,G6:G26)</f>
        <v>0.2191797199</v>
      </c>
    </row>
    <row r="28" ht="15.75" customHeight="1"/>
    <row r="29" ht="15.75" customHeight="1"/>
    <row r="30" ht="24.0" customHeight="1">
      <c r="A30" s="7" t="s">
        <v>628</v>
      </c>
      <c r="B30" s="2"/>
      <c r="C30" s="2"/>
      <c r="D30" s="2"/>
      <c r="E30" s="2"/>
      <c r="F30" s="2"/>
      <c r="G30" s="2"/>
      <c r="H30" s="2"/>
      <c r="I30" s="2"/>
      <c r="J30" s="2"/>
    </row>
    <row r="31" ht="19.5" customHeight="1">
      <c r="A31" s="51" t="s">
        <v>632</v>
      </c>
      <c r="B31" s="21"/>
      <c r="C31" s="52" t="s">
        <v>637</v>
      </c>
      <c r="D31" s="21"/>
      <c r="E31" s="53" t="s">
        <v>642</v>
      </c>
      <c r="F31" s="21"/>
      <c r="G31" s="54" t="s">
        <v>647</v>
      </c>
      <c r="H31" s="21"/>
      <c r="I31" s="55" t="s">
        <v>651</v>
      </c>
      <c r="J31" s="21"/>
    </row>
    <row r="32" ht="30.0" customHeight="1">
      <c r="A32" s="56">
        <f>E27</f>
        <v>0.1335615126</v>
      </c>
      <c r="B32" s="21"/>
      <c r="C32" s="57">
        <f>F27</f>
        <v>0.1441239776</v>
      </c>
      <c r="D32" s="21"/>
      <c r="E32" s="58">
        <f>G27</f>
        <v>0.2191797199</v>
      </c>
      <c r="F32" s="21"/>
      <c r="G32" s="59">
        <f>C9</f>
        <v>0.05218487395</v>
      </c>
      <c r="H32" s="21"/>
      <c r="I32" s="60">
        <f>MAX(C6:C26)</f>
        <v>0.09134453782</v>
      </c>
      <c r="J32" s="21"/>
    </row>
    <row r="33" ht="15.75" customHeight="1"/>
    <row r="34" ht="15.75" customHeight="1"/>
    <row r="35" ht="24.0" customHeight="1">
      <c r="A35" s="6" t="s">
        <v>669</v>
      </c>
      <c r="B35" s="2"/>
      <c r="C35" s="2"/>
      <c r="D35" s="2"/>
      <c r="E35" s="2"/>
      <c r="F35" s="2"/>
      <c r="G35" s="2"/>
      <c r="H35" s="2"/>
      <c r="I35" s="2"/>
      <c r="J35" s="2"/>
    </row>
    <row r="36" ht="27.75" customHeight="1">
      <c r="A36" s="10" t="s">
        <v>678</v>
      </c>
      <c r="B36" s="10" t="s">
        <v>687</v>
      </c>
      <c r="C36" s="10" t="s">
        <v>689</v>
      </c>
      <c r="D36" s="10" t="s">
        <v>690</v>
      </c>
      <c r="E36" s="10" t="s">
        <v>691</v>
      </c>
    </row>
    <row r="37" ht="24.75" customHeight="1">
      <c r="A37" s="11" t="s">
        <v>477</v>
      </c>
      <c r="B37" s="11" t="s">
        <v>692</v>
      </c>
      <c r="C37" s="24">
        <v>0.1164</v>
      </c>
      <c r="D37" s="61">
        <v>-0.35</v>
      </c>
      <c r="E37" s="24">
        <v>-0.04074</v>
      </c>
    </row>
    <row r="38" ht="24.75" customHeight="1">
      <c r="A38" s="11" t="s">
        <v>284</v>
      </c>
      <c r="B38" s="11" t="s">
        <v>282</v>
      </c>
      <c r="C38" s="24">
        <v>0.0529</v>
      </c>
      <c r="D38" s="61">
        <v>-0.6</v>
      </c>
      <c r="E38" s="24">
        <v>-0.03174</v>
      </c>
    </row>
    <row r="39" ht="24.75" customHeight="1">
      <c r="A39" s="11" t="s">
        <v>699</v>
      </c>
      <c r="B39" s="11" t="s">
        <v>700</v>
      </c>
      <c r="C39" s="24">
        <v>0.1375666666666667</v>
      </c>
      <c r="D39" s="61">
        <v>-0.25</v>
      </c>
      <c r="E39" s="24">
        <v>-0.03439166666666667</v>
      </c>
    </row>
    <row r="40" ht="24.75" customHeight="1">
      <c r="A40" s="11" t="s">
        <v>703</v>
      </c>
      <c r="B40" s="11" t="s">
        <v>704</v>
      </c>
      <c r="C40" s="24">
        <v>0.7108</v>
      </c>
      <c r="D40" s="61">
        <v>-0.2</v>
      </c>
      <c r="E40" s="24">
        <v>-0.14216</v>
      </c>
    </row>
    <row r="41" ht="15.75" customHeight="1"/>
    <row r="42" ht="15.75" customHeight="1"/>
    <row r="43" ht="24.0" customHeight="1">
      <c r="A43" s="6" t="s">
        <v>706</v>
      </c>
      <c r="B43" s="2"/>
      <c r="C43" s="2"/>
      <c r="D43" s="2"/>
      <c r="E43" s="2"/>
      <c r="F43" s="2"/>
      <c r="G43" s="2"/>
      <c r="H43" s="2"/>
      <c r="I43" s="2"/>
      <c r="J43" s="2"/>
    </row>
    <row r="44" ht="27.75" customHeight="1">
      <c r="A44" s="10" t="s">
        <v>495</v>
      </c>
      <c r="B44" s="10" t="s">
        <v>707</v>
      </c>
    </row>
    <row r="45" ht="69.75" customHeight="1">
      <c r="A45" s="11" t="s">
        <v>615</v>
      </c>
      <c r="B45" s="11" t="s">
        <v>710</v>
      </c>
    </row>
    <row r="46" ht="69.75" customHeight="1">
      <c r="A46" s="11" t="s">
        <v>711</v>
      </c>
      <c r="B46" s="11" t="s">
        <v>714</v>
      </c>
    </row>
    <row r="47" ht="51.75" customHeight="1">
      <c r="A47" s="11" t="s">
        <v>715</v>
      </c>
      <c r="B47" s="11" t="s">
        <v>716</v>
      </c>
    </row>
    <row r="48" ht="69.75" customHeight="1">
      <c r="A48" s="11" t="s">
        <v>474</v>
      </c>
      <c r="B48" s="11" t="s">
        <v>717</v>
      </c>
    </row>
    <row r="49" ht="51.75" customHeight="1">
      <c r="A49" s="11" t="s">
        <v>718</v>
      </c>
      <c r="B49" s="11" t="s">
        <v>720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4DF907B-B7CC-48D0-8726-9B4F2B9BC91B}" filter="1" showAutoFilter="1">
      <autoFilter ref="$A$44:$B$49"/>
    </customSheetView>
    <customSheetView guid="{37152FC0-050B-4CCD-91C3-417B6AC11E2F}" filter="1" showAutoFilter="1">
      <autoFilter ref="$A$5:$G$26"/>
    </customSheetView>
    <customSheetView guid="{CC54928B-FB29-455E-A06A-20645953D6B9}" filter="1" showAutoFilter="1">
      <autoFilter ref="$A$36:$E$40"/>
    </customSheetView>
  </customSheetViews>
  <mergeCells count="16">
    <mergeCell ref="G31:H31"/>
    <mergeCell ref="I31:J31"/>
    <mergeCell ref="A32:B32"/>
    <mergeCell ref="C32:D32"/>
    <mergeCell ref="E32:F32"/>
    <mergeCell ref="G32:H32"/>
    <mergeCell ref="I32:J32"/>
    <mergeCell ref="A35:J35"/>
    <mergeCell ref="A43:J43"/>
    <mergeCell ref="A1:J1"/>
    <mergeCell ref="A2:J2"/>
    <mergeCell ref="A4:J4"/>
    <mergeCell ref="A30:J30"/>
    <mergeCell ref="A31:B31"/>
    <mergeCell ref="C31:D31"/>
    <mergeCell ref="E31:F31"/>
  </mergeCells>
  <printOptions/>
  <pageMargins bottom="0.4" footer="0.0" header="0.0" left="0.25" right="0.25" top="0.4"/>
  <pageSetup fitToHeight="0" orientation="landscape"/>
  <drawing r:id="rId1"/>
  <tableParts count="3"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183"/>
    <pageSetUpPr fitToPage="1"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2" width="92.0"/>
    <col customWidth="1" min="3" max="3" width="28.0"/>
    <col customWidth="1" min="4" max="4" width="27.0"/>
    <col customWidth="1" min="5" max="5" width="32.0"/>
    <col customWidth="1" min="6" max="6" width="35.0"/>
    <col customWidth="1" min="7" max="7" width="36.0"/>
    <col customWidth="1" min="8" max="8" width="30.0"/>
    <col customWidth="1" min="9" max="12" width="24.0"/>
  </cols>
  <sheetData>
    <row r="1" ht="33.75" customHeight="1">
      <c r="A1" s="1" t="s">
        <v>459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37.5" customHeight="1">
      <c r="A2" s="28" t="s">
        <v>461</v>
      </c>
    </row>
    <row r="3" ht="24.75" customHeight="1">
      <c r="A3" s="4" t="s">
        <v>462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ht="24.0" customHeight="1">
      <c r="A5" s="6" t="s">
        <v>465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ht="27.75" customHeight="1">
      <c r="A6" s="10" t="s">
        <v>466</v>
      </c>
      <c r="B6" s="10" t="s">
        <v>468</v>
      </c>
      <c r="C6" s="10" t="s">
        <v>469</v>
      </c>
      <c r="D6" s="10" t="s">
        <v>470</v>
      </c>
      <c r="E6" s="10" t="s">
        <v>471</v>
      </c>
      <c r="F6" s="10" t="s">
        <v>37</v>
      </c>
      <c r="G6" s="10" t="s">
        <v>473</v>
      </c>
      <c r="H6" s="10" t="s">
        <v>474</v>
      </c>
    </row>
    <row r="7" ht="37.5" customHeight="1">
      <c r="A7" s="11" t="s">
        <v>475</v>
      </c>
      <c r="B7" s="11" t="s">
        <v>476</v>
      </c>
      <c r="C7" s="11" t="s">
        <v>477</v>
      </c>
      <c r="D7" s="11" t="s">
        <v>478</v>
      </c>
      <c r="E7" s="11" t="s">
        <v>479</v>
      </c>
      <c r="F7" s="11" t="s">
        <v>480</v>
      </c>
      <c r="G7" s="11" t="s">
        <v>482</v>
      </c>
      <c r="H7" s="11" t="s">
        <v>483</v>
      </c>
    </row>
    <row r="8" ht="37.5" customHeight="1">
      <c r="A8" s="11" t="s">
        <v>484</v>
      </c>
      <c r="B8" s="11" t="s">
        <v>485</v>
      </c>
      <c r="C8" s="11" t="s">
        <v>486</v>
      </c>
      <c r="D8" s="11" t="s">
        <v>487</v>
      </c>
      <c r="E8" s="11" t="s">
        <v>488</v>
      </c>
      <c r="F8" s="11" t="s">
        <v>489</v>
      </c>
      <c r="G8" s="11" t="s">
        <v>490</v>
      </c>
      <c r="H8" s="11" t="s">
        <v>492</v>
      </c>
    </row>
    <row r="9" ht="37.5" customHeight="1">
      <c r="A9" s="11" t="s">
        <v>493</v>
      </c>
      <c r="B9" s="11" t="s">
        <v>494</v>
      </c>
      <c r="C9" s="11" t="s">
        <v>282</v>
      </c>
      <c r="D9" s="11" t="s">
        <v>496</v>
      </c>
      <c r="E9" s="11" t="s">
        <v>497</v>
      </c>
      <c r="F9" s="11" t="s">
        <v>499</v>
      </c>
      <c r="G9" s="11" t="s">
        <v>501</v>
      </c>
      <c r="H9" s="11" t="s">
        <v>502</v>
      </c>
    </row>
    <row r="10" ht="24.75" customHeight="1">
      <c r="A10" s="11" t="s">
        <v>504</v>
      </c>
      <c r="B10" s="11" t="s">
        <v>507</v>
      </c>
      <c r="C10" s="11" t="s">
        <v>370</v>
      </c>
      <c r="D10" s="11" t="s">
        <v>509</v>
      </c>
      <c r="E10" s="11" t="s">
        <v>511</v>
      </c>
      <c r="F10" s="11" t="s">
        <v>513</v>
      </c>
      <c r="G10" s="11" t="s">
        <v>515</v>
      </c>
      <c r="H10" s="11" t="s">
        <v>518</v>
      </c>
    </row>
    <row r="11" ht="37.5" customHeight="1">
      <c r="A11" s="11" t="s">
        <v>521</v>
      </c>
      <c r="B11" s="11" t="s">
        <v>525</v>
      </c>
      <c r="C11" s="11" t="s">
        <v>528</v>
      </c>
      <c r="D11" s="11" t="s">
        <v>533</v>
      </c>
      <c r="E11" s="11" t="s">
        <v>539</v>
      </c>
      <c r="F11" s="11" t="s">
        <v>544</v>
      </c>
      <c r="G11" s="11" t="s">
        <v>549</v>
      </c>
    </row>
    <row r="12" ht="37.5" customHeight="1">
      <c r="A12" s="11" t="s">
        <v>554</v>
      </c>
      <c r="B12" s="11" t="s">
        <v>555</v>
      </c>
      <c r="C12" s="11" t="s">
        <v>561</v>
      </c>
      <c r="D12" s="11" t="s">
        <v>566</v>
      </c>
      <c r="E12" s="11" t="s">
        <v>569</v>
      </c>
      <c r="F12" s="11" t="s">
        <v>570</v>
      </c>
      <c r="G12" s="11" t="s">
        <v>571</v>
      </c>
      <c r="H12" s="11" t="s">
        <v>492</v>
      </c>
    </row>
    <row r="15" ht="24.0" customHeight="1">
      <c r="A15" s="6" t="s">
        <v>572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27.75" customHeight="1">
      <c r="A16" s="10" t="s">
        <v>575</v>
      </c>
      <c r="B16" s="10" t="s">
        <v>577</v>
      </c>
    </row>
    <row r="17" ht="37.5" customHeight="1">
      <c r="A17" s="11" t="s">
        <v>581</v>
      </c>
      <c r="B17" s="11" t="s">
        <v>583</v>
      </c>
    </row>
    <row r="18" ht="37.5" customHeight="1">
      <c r="A18" s="11" t="s">
        <v>584</v>
      </c>
      <c r="B18" s="11" t="s">
        <v>585</v>
      </c>
    </row>
    <row r="19" ht="37.5" customHeight="1">
      <c r="A19" s="11" t="s">
        <v>586</v>
      </c>
      <c r="B19" s="11" t="s">
        <v>587</v>
      </c>
    </row>
    <row r="20" ht="37.5" customHeight="1">
      <c r="A20" s="11" t="s">
        <v>588</v>
      </c>
      <c r="B20" s="11" t="s">
        <v>592</v>
      </c>
    </row>
    <row r="21" ht="37.5" customHeight="1">
      <c r="A21" s="11" t="s">
        <v>595</v>
      </c>
      <c r="B21" s="11" t="s">
        <v>596</v>
      </c>
    </row>
    <row r="22" ht="37.5" customHeight="1">
      <c r="A22" s="11" t="s">
        <v>598</v>
      </c>
      <c r="B22" s="11" t="s">
        <v>599</v>
      </c>
    </row>
    <row r="23" ht="15.75" customHeight="1"/>
    <row r="24" ht="24.0" customHeight="1">
      <c r="A24" s="6" t="s">
        <v>600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ht="27.75" customHeight="1">
      <c r="A25" s="10" t="s">
        <v>605</v>
      </c>
      <c r="B25" s="10" t="s">
        <v>610</v>
      </c>
    </row>
    <row r="26" ht="69.75" customHeight="1">
      <c r="A26" s="11" t="s">
        <v>612</v>
      </c>
      <c r="B26" s="11" t="s">
        <v>613</v>
      </c>
    </row>
    <row r="27" ht="51.75" customHeight="1">
      <c r="A27" s="11" t="s">
        <v>614</v>
      </c>
      <c r="B27" s="11" t="s">
        <v>616</v>
      </c>
    </row>
    <row r="28" ht="69.75" customHeight="1">
      <c r="A28" s="11" t="s">
        <v>622</v>
      </c>
      <c r="B28" s="11" t="s">
        <v>625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E84F6FE-1AF3-4B67-9E4F-D1CD7E5B52B3}" filter="1" showAutoFilter="1">
      <autoFilter ref="$A$6:$H$12"/>
    </customSheetView>
    <customSheetView guid="{E1F0FCAB-FCAD-4120-BA76-CB319C47652D}" filter="1" showAutoFilter="1">
      <autoFilter ref="$A$16:$B$22"/>
    </customSheetView>
    <customSheetView guid="{E609FAC9-EA3F-4F43-8317-9B65214CC9F0}" filter="1" showAutoFilter="1">
      <autoFilter ref="$A$25:$B$28"/>
    </customSheetView>
  </customSheetViews>
  <mergeCells count="6">
    <mergeCell ref="A1:L1"/>
    <mergeCell ref="A2:L2"/>
    <mergeCell ref="A3:L3"/>
    <mergeCell ref="A5:L5"/>
    <mergeCell ref="A15:L15"/>
    <mergeCell ref="A24:L24"/>
  </mergeCells>
  <printOptions/>
  <pageMargins bottom="0.4" footer="0.0" header="0.0" left="0.25" right="0.25" top="0.4"/>
  <pageSetup fitToHeight="0" orientation="landscape"/>
  <drawing r:id="rId1"/>
  <tableParts count="3"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C95"/>
    <pageSetUpPr fitToPage="1"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20.0"/>
    <col customWidth="1" min="3" max="3" width="22.0"/>
    <col customWidth="1" min="4" max="4" width="20.0"/>
    <col customWidth="1" min="5" max="5" width="16.0"/>
    <col customWidth="1" min="6" max="6" width="22.0"/>
    <col customWidth="1" min="7" max="7" width="26.0"/>
    <col customWidth="1" min="8" max="8" width="22.0"/>
    <col customWidth="1" min="9" max="10" width="16.0"/>
    <col customWidth="1" min="11" max="11" width="52.0"/>
    <col customWidth="1" min="12" max="12" width="42.0"/>
  </cols>
  <sheetData>
    <row r="1" ht="33.75" customHeight="1">
      <c r="A1" s="39" t="s">
        <v>498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51.75" customHeight="1">
      <c r="A2" s="41" t="s">
        <v>506</v>
      </c>
    </row>
    <row r="4" ht="24.0" customHeight="1">
      <c r="A4" s="42" t="s">
        <v>508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31.5" customHeight="1">
      <c r="A5" s="43" t="s">
        <v>14</v>
      </c>
      <c r="B5" s="43" t="s">
        <v>516</v>
      </c>
      <c r="C5" s="43" t="s">
        <v>517</v>
      </c>
      <c r="D5" s="43" t="s">
        <v>37</v>
      </c>
      <c r="E5" s="43" t="s">
        <v>305</v>
      </c>
    </row>
    <row r="6" ht="51.75" customHeight="1">
      <c r="A6" s="44" t="s">
        <v>520</v>
      </c>
      <c r="B6" s="44" t="s">
        <v>56</v>
      </c>
      <c r="C6" s="44" t="s">
        <v>522</v>
      </c>
      <c r="D6" s="44" t="s">
        <v>523</v>
      </c>
      <c r="E6" s="44" t="s">
        <v>526</v>
      </c>
    </row>
    <row r="7" ht="51.75" customHeight="1">
      <c r="A7" s="45" t="s">
        <v>527</v>
      </c>
      <c r="B7" s="45" t="s">
        <v>529</v>
      </c>
      <c r="C7" s="45" t="s">
        <v>530</v>
      </c>
      <c r="D7" s="45" t="s">
        <v>531</v>
      </c>
      <c r="E7" s="45" t="s">
        <v>532</v>
      </c>
    </row>
    <row r="8" ht="37.5" customHeight="1">
      <c r="A8" s="44" t="s">
        <v>535</v>
      </c>
      <c r="B8" s="44" t="s">
        <v>536</v>
      </c>
      <c r="C8" s="44" t="s">
        <v>537</v>
      </c>
      <c r="D8" s="44" t="s">
        <v>538</v>
      </c>
      <c r="E8" s="44" t="s">
        <v>532</v>
      </c>
    </row>
    <row r="9" ht="69.75" customHeight="1">
      <c r="A9" s="45" t="s">
        <v>540</v>
      </c>
      <c r="B9" s="45" t="s">
        <v>542</v>
      </c>
      <c r="C9" s="45" t="s">
        <v>543</v>
      </c>
      <c r="D9" s="45" t="s">
        <v>545</v>
      </c>
      <c r="E9" s="45" t="s">
        <v>546</v>
      </c>
    </row>
    <row r="10" ht="69.75" customHeight="1">
      <c r="A10" s="44" t="s">
        <v>547</v>
      </c>
      <c r="B10" s="44" t="s">
        <v>548</v>
      </c>
      <c r="C10" s="44" t="s">
        <v>550</v>
      </c>
      <c r="D10" s="44" t="s">
        <v>551</v>
      </c>
      <c r="E10" s="44" t="s">
        <v>552</v>
      </c>
    </row>
    <row r="13" ht="24.0" customHeight="1">
      <c r="A13" s="42" t="s">
        <v>553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31.5" customHeight="1">
      <c r="A14" s="43" t="s">
        <v>556</v>
      </c>
      <c r="B14" s="43" t="s">
        <v>452</v>
      </c>
      <c r="C14" s="43" t="s">
        <v>557</v>
      </c>
      <c r="D14" s="43" t="s">
        <v>558</v>
      </c>
      <c r="E14" s="43" t="s">
        <v>559</v>
      </c>
      <c r="F14" s="43" t="s">
        <v>560</v>
      </c>
      <c r="G14" s="43" t="s">
        <v>375</v>
      </c>
    </row>
    <row r="15" ht="51.75" customHeight="1">
      <c r="A15" s="45" t="s">
        <v>562</v>
      </c>
      <c r="B15" s="45" t="s">
        <v>563</v>
      </c>
      <c r="C15" s="45" t="s">
        <v>56</v>
      </c>
      <c r="D15" s="45" t="s">
        <v>564</v>
      </c>
      <c r="E15" s="45" t="s">
        <v>565</v>
      </c>
      <c r="F15" s="45" t="s">
        <v>567</v>
      </c>
      <c r="G15" s="46" t="s">
        <v>568</v>
      </c>
    </row>
    <row r="16" ht="37.5" customHeight="1">
      <c r="A16" s="44" t="s">
        <v>573</v>
      </c>
      <c r="B16" s="44" t="s">
        <v>574</v>
      </c>
      <c r="C16" s="44" t="s">
        <v>56</v>
      </c>
      <c r="D16" s="44" t="s">
        <v>576</v>
      </c>
      <c r="E16" s="44" t="s">
        <v>565</v>
      </c>
      <c r="F16" s="44" t="s">
        <v>567</v>
      </c>
      <c r="G16" s="46" t="s">
        <v>568</v>
      </c>
    </row>
    <row r="17" ht="51.75" customHeight="1">
      <c r="A17" s="45" t="s">
        <v>578</v>
      </c>
      <c r="B17" s="45" t="s">
        <v>579</v>
      </c>
      <c r="C17" s="45" t="s">
        <v>56</v>
      </c>
      <c r="D17" s="45" t="s">
        <v>580</v>
      </c>
      <c r="E17" s="45" t="s">
        <v>565</v>
      </c>
      <c r="F17" s="45" t="s">
        <v>567</v>
      </c>
      <c r="G17" s="46" t="s">
        <v>582</v>
      </c>
    </row>
    <row r="18" ht="69.75" customHeight="1">
      <c r="A18" s="44" t="s">
        <v>589</v>
      </c>
      <c r="B18" s="44" t="s">
        <v>590</v>
      </c>
      <c r="C18" s="44" t="s">
        <v>56</v>
      </c>
      <c r="D18" s="44" t="s">
        <v>591</v>
      </c>
      <c r="E18" s="44" t="s">
        <v>565</v>
      </c>
      <c r="F18" s="44" t="s">
        <v>593</v>
      </c>
      <c r="G18" s="46" t="s">
        <v>594</v>
      </c>
    </row>
    <row r="19" ht="37.5" customHeight="1">
      <c r="A19" s="45" t="s">
        <v>601</v>
      </c>
      <c r="B19" s="45" t="s">
        <v>602</v>
      </c>
      <c r="C19" s="45" t="s">
        <v>56</v>
      </c>
      <c r="D19" s="45" t="s">
        <v>603</v>
      </c>
      <c r="E19" s="45" t="s">
        <v>565</v>
      </c>
      <c r="F19" s="45" t="s">
        <v>593</v>
      </c>
      <c r="G19" s="46" t="s">
        <v>594</v>
      </c>
    </row>
    <row r="20" ht="37.5" customHeight="1">
      <c r="A20" s="44" t="s">
        <v>604</v>
      </c>
      <c r="B20" s="44" t="s">
        <v>563</v>
      </c>
      <c r="C20" s="44" t="s">
        <v>56</v>
      </c>
      <c r="D20" s="44" t="s">
        <v>606</v>
      </c>
      <c r="E20" s="44" t="s">
        <v>607</v>
      </c>
      <c r="F20" s="44" t="s">
        <v>608</v>
      </c>
      <c r="G20" s="44" t="s">
        <v>609</v>
      </c>
    </row>
    <row r="21" ht="15.75" customHeight="1"/>
    <row r="22" ht="15.75" customHeight="1"/>
    <row r="23" ht="24.0" customHeight="1">
      <c r="A23" s="42" t="s">
        <v>611</v>
      </c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31.5" customHeight="1">
      <c r="A24" s="43" t="s">
        <v>556</v>
      </c>
      <c r="B24" s="43" t="s">
        <v>452</v>
      </c>
      <c r="C24" s="43" t="s">
        <v>557</v>
      </c>
      <c r="D24" s="43" t="s">
        <v>615</v>
      </c>
      <c r="E24" s="43" t="s">
        <v>559</v>
      </c>
      <c r="F24" s="43" t="s">
        <v>560</v>
      </c>
      <c r="G24" s="43" t="s">
        <v>375</v>
      </c>
    </row>
    <row r="25" ht="37.5" customHeight="1">
      <c r="A25" s="45" t="s">
        <v>617</v>
      </c>
      <c r="B25" s="45" t="s">
        <v>618</v>
      </c>
      <c r="C25" s="45" t="s">
        <v>56</v>
      </c>
      <c r="D25" s="45" t="s">
        <v>619</v>
      </c>
      <c r="E25" s="45" t="s">
        <v>565</v>
      </c>
      <c r="F25" s="45" t="s">
        <v>620</v>
      </c>
      <c r="G25" s="45" t="s">
        <v>621</v>
      </c>
    </row>
    <row r="26" ht="37.5" customHeight="1">
      <c r="A26" s="44" t="s">
        <v>623</v>
      </c>
      <c r="B26" s="44" t="s">
        <v>624</v>
      </c>
      <c r="C26" s="44" t="s">
        <v>56</v>
      </c>
      <c r="D26" s="44" t="s">
        <v>626</v>
      </c>
      <c r="E26" s="44" t="s">
        <v>565</v>
      </c>
      <c r="F26" s="44" t="s">
        <v>593</v>
      </c>
      <c r="G26" s="46" t="s">
        <v>627</v>
      </c>
    </row>
    <row r="27" ht="51.75" customHeight="1">
      <c r="A27" s="45" t="s">
        <v>629</v>
      </c>
      <c r="B27" s="45" t="s">
        <v>630</v>
      </c>
      <c r="C27" s="45" t="s">
        <v>56</v>
      </c>
      <c r="D27" s="45" t="s">
        <v>631</v>
      </c>
      <c r="E27" s="45" t="s">
        <v>565</v>
      </c>
      <c r="F27" s="45" t="s">
        <v>633</v>
      </c>
      <c r="G27" s="46" t="s">
        <v>627</v>
      </c>
    </row>
    <row r="28" ht="37.5" customHeight="1">
      <c r="A28" s="44" t="s">
        <v>634</v>
      </c>
      <c r="B28" s="44" t="s">
        <v>635</v>
      </c>
      <c r="C28" s="44" t="s">
        <v>56</v>
      </c>
      <c r="D28" s="44" t="s">
        <v>636</v>
      </c>
      <c r="E28" s="44" t="s">
        <v>565</v>
      </c>
      <c r="F28" s="44" t="s">
        <v>633</v>
      </c>
      <c r="G28" s="44" t="s">
        <v>638</v>
      </c>
    </row>
    <row r="29" ht="37.5" customHeight="1">
      <c r="A29" s="45" t="s">
        <v>268</v>
      </c>
      <c r="B29" s="45" t="s">
        <v>639</v>
      </c>
      <c r="C29" s="45" t="s">
        <v>56</v>
      </c>
      <c r="D29" s="45" t="s">
        <v>640</v>
      </c>
      <c r="E29" s="45" t="s">
        <v>537</v>
      </c>
      <c r="F29" s="45" t="s">
        <v>633</v>
      </c>
      <c r="G29" s="45" t="s">
        <v>641</v>
      </c>
    </row>
    <row r="30" ht="37.5" customHeight="1">
      <c r="A30" s="44" t="s">
        <v>300</v>
      </c>
      <c r="B30" s="44" t="s">
        <v>643</v>
      </c>
      <c r="C30" s="44" t="s">
        <v>56</v>
      </c>
      <c r="D30" s="44" t="s">
        <v>644</v>
      </c>
      <c r="E30" s="44" t="s">
        <v>565</v>
      </c>
      <c r="F30" s="44" t="s">
        <v>633</v>
      </c>
      <c r="G30" s="44" t="s">
        <v>645</v>
      </c>
    </row>
    <row r="31" ht="51.75" customHeight="1">
      <c r="A31" s="45" t="s">
        <v>646</v>
      </c>
      <c r="B31" s="45" t="s">
        <v>648</v>
      </c>
      <c r="C31" s="45" t="s">
        <v>56</v>
      </c>
      <c r="D31" s="45" t="s">
        <v>649</v>
      </c>
      <c r="E31" s="45" t="s">
        <v>565</v>
      </c>
      <c r="F31" s="45" t="s">
        <v>620</v>
      </c>
      <c r="G31" s="45" t="s">
        <v>621</v>
      </c>
    </row>
    <row r="32" ht="15.75" customHeight="1"/>
    <row r="33" ht="24.0" customHeight="1">
      <c r="A33" s="42" t="s">
        <v>650</v>
      </c>
      <c r="B33" s="2"/>
      <c r="C33" s="2"/>
      <c r="D33" s="2"/>
      <c r="E33" s="2"/>
      <c r="F33" s="2"/>
      <c r="G33" s="2"/>
      <c r="H33" s="2"/>
      <c r="I33" s="2"/>
      <c r="J33" s="2"/>
      <c r="K33" s="2"/>
    </row>
    <row r="34" ht="31.5" customHeight="1">
      <c r="A34" s="43" t="s">
        <v>556</v>
      </c>
      <c r="B34" s="43" t="s">
        <v>452</v>
      </c>
      <c r="C34" s="43" t="s">
        <v>557</v>
      </c>
      <c r="D34" s="43" t="s">
        <v>652</v>
      </c>
      <c r="E34" s="43" t="s">
        <v>559</v>
      </c>
      <c r="F34" s="43" t="s">
        <v>560</v>
      </c>
      <c r="G34" s="43" t="s">
        <v>375</v>
      </c>
    </row>
    <row r="35" ht="51.75" customHeight="1">
      <c r="A35" s="45" t="s">
        <v>653</v>
      </c>
      <c r="B35" s="45" t="s">
        <v>427</v>
      </c>
      <c r="C35" s="45" t="s">
        <v>56</v>
      </c>
      <c r="D35" s="45" t="s">
        <v>654</v>
      </c>
      <c r="E35" s="45" t="s">
        <v>655</v>
      </c>
      <c r="F35" s="45" t="s">
        <v>656</v>
      </c>
      <c r="G35" s="46" t="s">
        <v>657</v>
      </c>
    </row>
    <row r="36" ht="51.75" customHeight="1">
      <c r="A36" s="44" t="s">
        <v>658</v>
      </c>
      <c r="B36" s="44" t="s">
        <v>659</v>
      </c>
      <c r="C36" s="44" t="s">
        <v>56</v>
      </c>
      <c r="D36" s="44" t="s">
        <v>660</v>
      </c>
      <c r="E36" s="44" t="s">
        <v>565</v>
      </c>
      <c r="F36" s="44" t="s">
        <v>661</v>
      </c>
      <c r="G36" s="46" t="s">
        <v>662</v>
      </c>
    </row>
    <row r="37" ht="27.75" customHeight="1">
      <c r="A37" s="45" t="s">
        <v>663</v>
      </c>
      <c r="B37" s="45" t="s">
        <v>664</v>
      </c>
      <c r="C37" s="45" t="s">
        <v>56</v>
      </c>
      <c r="D37" s="45" t="s">
        <v>665</v>
      </c>
      <c r="E37" s="45" t="s">
        <v>666</v>
      </c>
      <c r="F37" s="45" t="s">
        <v>656</v>
      </c>
      <c r="G37" s="46" t="s">
        <v>657</v>
      </c>
    </row>
    <row r="38" ht="37.5" customHeight="1">
      <c r="A38" s="44" t="s">
        <v>667</v>
      </c>
      <c r="B38" s="44" t="s">
        <v>668</v>
      </c>
      <c r="C38" s="44" t="s">
        <v>56</v>
      </c>
      <c r="D38" s="44" t="s">
        <v>670</v>
      </c>
      <c r="E38" s="44" t="s">
        <v>565</v>
      </c>
      <c r="F38" s="44" t="s">
        <v>671</v>
      </c>
      <c r="G38" s="44" t="s">
        <v>672</v>
      </c>
    </row>
    <row r="39" ht="37.5" customHeight="1">
      <c r="A39" s="45" t="s">
        <v>283</v>
      </c>
      <c r="B39" s="45" t="s">
        <v>673</v>
      </c>
      <c r="C39" s="45" t="s">
        <v>56</v>
      </c>
      <c r="D39" s="45" t="s">
        <v>674</v>
      </c>
      <c r="E39" s="45" t="s">
        <v>565</v>
      </c>
      <c r="F39" s="45" t="s">
        <v>675</v>
      </c>
      <c r="G39" s="45" t="s">
        <v>676</v>
      </c>
    </row>
    <row r="40" ht="37.5" customHeight="1">
      <c r="A40" s="44" t="s">
        <v>677</v>
      </c>
      <c r="B40" s="44" t="s">
        <v>679</v>
      </c>
      <c r="C40" s="44" t="s">
        <v>56</v>
      </c>
      <c r="D40" s="44" t="s">
        <v>680</v>
      </c>
      <c r="E40" s="44" t="s">
        <v>681</v>
      </c>
      <c r="F40" s="44" t="s">
        <v>682</v>
      </c>
      <c r="G40" s="44" t="s">
        <v>683</v>
      </c>
    </row>
    <row r="41" ht="37.5" customHeight="1">
      <c r="A41" s="45" t="s">
        <v>684</v>
      </c>
      <c r="B41" s="45" t="s">
        <v>685</v>
      </c>
      <c r="C41" s="45" t="s">
        <v>56</v>
      </c>
      <c r="D41" s="45" t="s">
        <v>686</v>
      </c>
      <c r="E41" s="45" t="s">
        <v>681</v>
      </c>
      <c r="F41" s="45" t="s">
        <v>682</v>
      </c>
      <c r="G41" s="46" t="s">
        <v>688</v>
      </c>
    </row>
    <row r="42" ht="15.75" customHeight="1"/>
    <row r="43" ht="24.0" customHeight="1">
      <c r="A43" s="42" t="s">
        <v>693</v>
      </c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31.5" customHeight="1">
      <c r="A44" s="43" t="s">
        <v>409</v>
      </c>
      <c r="B44" s="43" t="s">
        <v>257</v>
      </c>
      <c r="C44" s="43" t="s">
        <v>694</v>
      </c>
      <c r="D44" s="43" t="s">
        <v>463</v>
      </c>
      <c r="E44" s="43" t="s">
        <v>411</v>
      </c>
      <c r="F44" s="43" t="s">
        <v>262</v>
      </c>
      <c r="G44" s="43" t="s">
        <v>695</v>
      </c>
      <c r="H44" s="43" t="s">
        <v>696</v>
      </c>
      <c r="I44" s="43" t="s">
        <v>559</v>
      </c>
      <c r="J44" s="43" t="s">
        <v>697</v>
      </c>
      <c r="K44" s="43" t="s">
        <v>698</v>
      </c>
      <c r="L44" s="43" t="s">
        <v>375</v>
      </c>
    </row>
    <row r="45" ht="27.75" customHeight="1">
      <c r="A45" s="45" t="s">
        <v>268</v>
      </c>
      <c r="B45" s="45" t="s">
        <v>269</v>
      </c>
      <c r="C45" s="45" t="s">
        <v>270</v>
      </c>
      <c r="D45" s="45" t="s">
        <v>271</v>
      </c>
      <c r="E45" s="62">
        <v>26.98</v>
      </c>
      <c r="F45" s="63">
        <v>0.08993333333333334</v>
      </c>
      <c r="G45" s="45" t="s">
        <v>639</v>
      </c>
      <c r="H45" s="45" t="s">
        <v>640</v>
      </c>
      <c r="I45" s="45" t="s">
        <v>537</v>
      </c>
      <c r="J45" s="45" t="s">
        <v>56</v>
      </c>
      <c r="K45" s="45" t="s">
        <v>701</v>
      </c>
      <c r="L45" s="46" t="s">
        <v>702</v>
      </c>
    </row>
    <row r="46" ht="27.75" customHeight="1">
      <c r="A46" s="44" t="s">
        <v>275</v>
      </c>
      <c r="B46" s="44" t="s">
        <v>276</v>
      </c>
      <c r="C46" s="44" t="s">
        <v>270</v>
      </c>
      <c r="D46" s="44" t="s">
        <v>277</v>
      </c>
      <c r="E46" s="64">
        <v>19.05</v>
      </c>
      <c r="F46" s="65">
        <v>0.0635</v>
      </c>
      <c r="G46" s="44" t="s">
        <v>635</v>
      </c>
      <c r="H46" s="44" t="s">
        <v>636</v>
      </c>
      <c r="I46" s="44" t="s">
        <v>565</v>
      </c>
      <c r="J46" s="44" t="s">
        <v>56</v>
      </c>
      <c r="K46" s="44" t="s">
        <v>701</v>
      </c>
      <c r="L46" s="46" t="s">
        <v>705</v>
      </c>
    </row>
    <row r="47" ht="27.75" customHeight="1">
      <c r="A47" s="45" t="s">
        <v>279</v>
      </c>
      <c r="B47" s="45" t="s">
        <v>280</v>
      </c>
      <c r="C47" s="45" t="s">
        <v>270</v>
      </c>
      <c r="D47" s="45" t="s">
        <v>281</v>
      </c>
      <c r="E47" s="62">
        <v>15.87</v>
      </c>
      <c r="F47" s="63">
        <v>0.0529</v>
      </c>
      <c r="G47" s="45" t="s">
        <v>708</v>
      </c>
      <c r="H47" s="45" t="s">
        <v>626</v>
      </c>
      <c r="I47" s="45" t="s">
        <v>565</v>
      </c>
      <c r="J47" s="45" t="s">
        <v>56</v>
      </c>
      <c r="K47" s="45" t="s">
        <v>709</v>
      </c>
      <c r="L47" s="46" t="s">
        <v>627</v>
      </c>
    </row>
    <row r="48" ht="27.75" customHeight="1">
      <c r="A48" s="44" t="s">
        <v>282</v>
      </c>
      <c r="B48" s="44" t="s">
        <v>283</v>
      </c>
      <c r="C48" s="44" t="s">
        <v>284</v>
      </c>
      <c r="D48" s="44" t="s">
        <v>285</v>
      </c>
      <c r="E48" s="64">
        <v>15.87</v>
      </c>
      <c r="F48" s="65">
        <v>0.0529</v>
      </c>
      <c r="G48" s="44" t="s">
        <v>673</v>
      </c>
      <c r="H48" s="44" t="s">
        <v>674</v>
      </c>
      <c r="I48" s="44" t="s">
        <v>565</v>
      </c>
      <c r="J48" s="44" t="s">
        <v>56</v>
      </c>
      <c r="K48" s="44" t="s">
        <v>712</v>
      </c>
      <c r="L48" s="46" t="s">
        <v>713</v>
      </c>
    </row>
    <row r="49" ht="27.75" customHeight="1">
      <c r="A49" s="45" t="s">
        <v>291</v>
      </c>
      <c r="B49" s="45" t="s">
        <v>292</v>
      </c>
      <c r="C49" s="45" t="s">
        <v>293</v>
      </c>
      <c r="D49" s="45" t="s">
        <v>294</v>
      </c>
      <c r="E49" s="62">
        <v>12.7</v>
      </c>
      <c r="F49" s="63">
        <v>0.04233333333333333</v>
      </c>
      <c r="G49" s="45" t="s">
        <v>719</v>
      </c>
      <c r="H49" s="45" t="s">
        <v>626</v>
      </c>
      <c r="I49" s="45" t="s">
        <v>565</v>
      </c>
      <c r="J49" s="45" t="s">
        <v>56</v>
      </c>
      <c r="K49" s="45" t="s">
        <v>721</v>
      </c>
      <c r="L49" s="46" t="s">
        <v>627</v>
      </c>
    </row>
    <row r="50" ht="27.75" customHeight="1">
      <c r="A50" s="44" t="s">
        <v>300</v>
      </c>
      <c r="B50" s="44" t="s">
        <v>302</v>
      </c>
      <c r="C50" s="44" t="s">
        <v>270</v>
      </c>
      <c r="D50" s="44" t="s">
        <v>304</v>
      </c>
      <c r="E50" s="64">
        <v>11.11</v>
      </c>
      <c r="F50" s="65">
        <v>0.03703333333333333</v>
      </c>
      <c r="G50" s="44" t="s">
        <v>643</v>
      </c>
      <c r="H50" s="44" t="s">
        <v>644</v>
      </c>
      <c r="I50" s="44" t="s">
        <v>565</v>
      </c>
      <c r="J50" s="44" t="s">
        <v>56</v>
      </c>
      <c r="K50" s="44" t="s">
        <v>722</v>
      </c>
      <c r="L50" s="46" t="s">
        <v>723</v>
      </c>
    </row>
    <row r="51" ht="27.75" customHeight="1">
      <c r="A51" s="45" t="s">
        <v>310</v>
      </c>
      <c r="B51" s="45" t="s">
        <v>311</v>
      </c>
      <c r="C51" s="45" t="s">
        <v>313</v>
      </c>
      <c r="D51" s="45" t="s">
        <v>314</v>
      </c>
      <c r="E51" s="62">
        <v>9.52</v>
      </c>
      <c r="F51" s="63">
        <v>0.03173333333333333</v>
      </c>
      <c r="G51" s="45" t="s">
        <v>664</v>
      </c>
      <c r="H51" s="45" t="s">
        <v>670</v>
      </c>
      <c r="I51" s="45" t="s">
        <v>565</v>
      </c>
      <c r="J51" s="45" t="s">
        <v>56</v>
      </c>
      <c r="K51" s="45" t="s">
        <v>724</v>
      </c>
      <c r="L51" s="45" t="s">
        <v>725</v>
      </c>
    </row>
    <row r="52" ht="27.75" customHeight="1">
      <c r="A52" s="44" t="s">
        <v>320</v>
      </c>
      <c r="B52" s="44" t="s">
        <v>322</v>
      </c>
      <c r="C52" s="44" t="s">
        <v>293</v>
      </c>
      <c r="D52" s="44" t="s">
        <v>304</v>
      </c>
      <c r="E52" s="64">
        <v>8.47</v>
      </c>
      <c r="F52" s="65">
        <v>0.02823333333333334</v>
      </c>
      <c r="G52" s="44" t="s">
        <v>643</v>
      </c>
      <c r="H52" s="44" t="s">
        <v>644</v>
      </c>
      <c r="I52" s="44" t="s">
        <v>565</v>
      </c>
      <c r="J52" s="44" t="s">
        <v>56</v>
      </c>
      <c r="K52" s="44" t="s">
        <v>726</v>
      </c>
      <c r="L52" s="46" t="s">
        <v>723</v>
      </c>
    </row>
    <row r="53" ht="37.5" customHeight="1">
      <c r="A53" s="45" t="s">
        <v>331</v>
      </c>
      <c r="B53" s="45" t="s">
        <v>332</v>
      </c>
      <c r="C53" s="45" t="s">
        <v>293</v>
      </c>
      <c r="D53" s="45" t="s">
        <v>335</v>
      </c>
      <c r="E53" s="62">
        <v>6.35</v>
      </c>
      <c r="F53" s="63">
        <v>0.02116666666666667</v>
      </c>
      <c r="G53" s="45" t="s">
        <v>727</v>
      </c>
      <c r="H53" s="45" t="s">
        <v>619</v>
      </c>
      <c r="I53" s="45" t="s">
        <v>565</v>
      </c>
      <c r="J53" s="45" t="s">
        <v>56</v>
      </c>
      <c r="K53" s="45" t="s">
        <v>728</v>
      </c>
      <c r="L53" s="46" t="s">
        <v>729</v>
      </c>
    </row>
    <row r="54" ht="37.5" customHeight="1">
      <c r="A54" s="44" t="s">
        <v>341</v>
      </c>
      <c r="B54" s="44" t="s">
        <v>343</v>
      </c>
      <c r="C54" s="44" t="s">
        <v>293</v>
      </c>
      <c r="D54" s="44" t="s">
        <v>271</v>
      </c>
      <c r="E54" s="64">
        <v>7.94</v>
      </c>
      <c r="F54" s="65">
        <v>0.02646666666666667</v>
      </c>
      <c r="G54" s="44" t="s">
        <v>639</v>
      </c>
      <c r="H54" s="44" t="s">
        <v>640</v>
      </c>
      <c r="I54" s="44" t="s">
        <v>537</v>
      </c>
      <c r="J54" s="44" t="s">
        <v>56</v>
      </c>
      <c r="K54" s="44" t="s">
        <v>730</v>
      </c>
      <c r="L54" s="46" t="s">
        <v>702</v>
      </c>
    </row>
    <row r="55" ht="27.75" customHeight="1">
      <c r="A55" s="45" t="s">
        <v>351</v>
      </c>
      <c r="B55" s="45" t="s">
        <v>352</v>
      </c>
      <c r="C55" s="45" t="s">
        <v>293</v>
      </c>
      <c r="D55" s="45" t="s">
        <v>354</v>
      </c>
      <c r="E55" s="62">
        <v>6.35</v>
      </c>
      <c r="F55" s="63">
        <v>0.02116666666666667</v>
      </c>
      <c r="G55" s="45" t="s">
        <v>731</v>
      </c>
      <c r="H55" s="45" t="s">
        <v>626</v>
      </c>
      <c r="I55" s="45" t="s">
        <v>565</v>
      </c>
      <c r="J55" s="45" t="s">
        <v>56</v>
      </c>
      <c r="K55" s="45" t="s">
        <v>732</v>
      </c>
      <c r="L55" s="46" t="s">
        <v>627</v>
      </c>
    </row>
    <row r="56" ht="27.75" customHeight="1">
      <c r="A56" s="44" t="s">
        <v>360</v>
      </c>
      <c r="B56" s="44" t="s">
        <v>361</v>
      </c>
      <c r="C56" s="44" t="s">
        <v>293</v>
      </c>
      <c r="D56" s="44" t="s">
        <v>294</v>
      </c>
      <c r="E56" s="64">
        <v>6.35</v>
      </c>
      <c r="F56" s="65">
        <v>0.02116666666666667</v>
      </c>
      <c r="G56" s="44" t="s">
        <v>719</v>
      </c>
      <c r="H56" s="44" t="s">
        <v>626</v>
      </c>
      <c r="I56" s="44" t="s">
        <v>565</v>
      </c>
      <c r="J56" s="44" t="s">
        <v>56</v>
      </c>
      <c r="K56" s="44" t="s">
        <v>732</v>
      </c>
      <c r="L56" s="46" t="s">
        <v>627</v>
      </c>
    </row>
    <row r="57" ht="27.75" customHeight="1">
      <c r="A57" s="45" t="s">
        <v>370</v>
      </c>
      <c r="B57" s="45" t="s">
        <v>370</v>
      </c>
      <c r="C57" s="45" t="s">
        <v>372</v>
      </c>
      <c r="D57" s="45" t="s">
        <v>373</v>
      </c>
      <c r="E57" s="62">
        <v>19.05</v>
      </c>
      <c r="F57" s="63">
        <v>0.0635</v>
      </c>
      <c r="G57" s="45" t="s">
        <v>590</v>
      </c>
      <c r="H57" s="45" t="s">
        <v>591</v>
      </c>
      <c r="I57" s="45" t="s">
        <v>565</v>
      </c>
      <c r="J57" s="45" t="s">
        <v>56</v>
      </c>
      <c r="K57" s="45" t="s">
        <v>733</v>
      </c>
      <c r="L57" s="45" t="s">
        <v>734</v>
      </c>
    </row>
    <row r="58" ht="27.75" customHeight="1">
      <c r="A58" s="44" t="s">
        <v>382</v>
      </c>
      <c r="B58" s="44" t="s">
        <v>384</v>
      </c>
      <c r="C58" s="44" t="s">
        <v>372</v>
      </c>
      <c r="D58" s="44" t="s">
        <v>387</v>
      </c>
      <c r="E58" s="64">
        <v>15.87</v>
      </c>
      <c r="F58" s="65">
        <v>0.0529</v>
      </c>
      <c r="G58" s="44" t="s">
        <v>735</v>
      </c>
      <c r="H58" s="44" t="s">
        <v>564</v>
      </c>
      <c r="I58" s="44" t="s">
        <v>565</v>
      </c>
      <c r="J58" s="44" t="s">
        <v>56</v>
      </c>
      <c r="K58" s="44" t="s">
        <v>736</v>
      </c>
      <c r="L58" s="46" t="s">
        <v>568</v>
      </c>
    </row>
    <row r="59" ht="27.75" customHeight="1">
      <c r="A59" s="45" t="s">
        <v>395</v>
      </c>
      <c r="B59" s="45" t="s">
        <v>395</v>
      </c>
      <c r="C59" s="45" t="s">
        <v>372</v>
      </c>
      <c r="D59" s="45" t="s">
        <v>373</v>
      </c>
      <c r="E59" s="62">
        <v>12.7</v>
      </c>
      <c r="F59" s="63">
        <v>0.04233333333333333</v>
      </c>
      <c r="G59" s="45" t="s">
        <v>590</v>
      </c>
      <c r="H59" s="45" t="s">
        <v>591</v>
      </c>
      <c r="I59" s="45" t="s">
        <v>565</v>
      </c>
      <c r="J59" s="45" t="s">
        <v>56</v>
      </c>
      <c r="K59" s="45" t="s">
        <v>733</v>
      </c>
      <c r="L59" s="45" t="s">
        <v>734</v>
      </c>
    </row>
    <row r="60" ht="27.75" customHeight="1">
      <c r="A60" s="44" t="s">
        <v>405</v>
      </c>
      <c r="B60" s="44" t="s">
        <v>407</v>
      </c>
      <c r="C60" s="44" t="s">
        <v>408</v>
      </c>
      <c r="D60" s="44" t="s">
        <v>410</v>
      </c>
      <c r="E60" s="64">
        <v>25.4</v>
      </c>
      <c r="F60" s="65">
        <v>0.08466666666666667</v>
      </c>
      <c r="G60" s="44" t="s">
        <v>735</v>
      </c>
      <c r="H60" s="44" t="s">
        <v>564</v>
      </c>
      <c r="I60" s="44" t="s">
        <v>565</v>
      </c>
      <c r="J60" s="44" t="s">
        <v>56</v>
      </c>
      <c r="K60" s="44" t="s">
        <v>737</v>
      </c>
      <c r="L60" s="46" t="s">
        <v>568</v>
      </c>
    </row>
    <row r="61" ht="27.75" customHeight="1">
      <c r="A61" s="45" t="s">
        <v>414</v>
      </c>
      <c r="B61" s="45" t="s">
        <v>415</v>
      </c>
      <c r="C61" s="45" t="s">
        <v>416</v>
      </c>
      <c r="D61" s="45" t="s">
        <v>418</v>
      </c>
      <c r="E61" s="62">
        <v>19.05</v>
      </c>
      <c r="F61" s="63">
        <v>0.0635</v>
      </c>
      <c r="G61" s="45" t="s">
        <v>574</v>
      </c>
      <c r="H61" s="45" t="s">
        <v>576</v>
      </c>
      <c r="I61" s="45" t="s">
        <v>565</v>
      </c>
      <c r="J61" s="45" t="s">
        <v>56</v>
      </c>
      <c r="K61" s="45" t="s">
        <v>738</v>
      </c>
      <c r="L61" s="46" t="s">
        <v>568</v>
      </c>
    </row>
    <row r="62" ht="27.75" customHeight="1">
      <c r="A62" s="44" t="s">
        <v>421</v>
      </c>
      <c r="B62" s="44" t="s">
        <v>422</v>
      </c>
      <c r="C62" s="44" t="s">
        <v>423</v>
      </c>
      <c r="D62" s="44" t="s">
        <v>424</v>
      </c>
      <c r="E62" s="64">
        <v>22.22</v>
      </c>
      <c r="F62" s="65">
        <v>0.07406666666666667</v>
      </c>
      <c r="G62" s="44" t="s">
        <v>685</v>
      </c>
      <c r="H62" s="44" t="s">
        <v>739</v>
      </c>
      <c r="I62" s="44" t="s">
        <v>681</v>
      </c>
      <c r="J62" s="44" t="s">
        <v>56</v>
      </c>
      <c r="K62" s="44" t="s">
        <v>740</v>
      </c>
      <c r="L62" s="46" t="s">
        <v>688</v>
      </c>
    </row>
    <row r="63" ht="27.75" customHeight="1">
      <c r="A63" s="45" t="s">
        <v>426</v>
      </c>
      <c r="B63" s="45" t="s">
        <v>426</v>
      </c>
      <c r="C63" s="45" t="s">
        <v>313</v>
      </c>
      <c r="D63" s="45" t="s">
        <v>427</v>
      </c>
      <c r="E63" s="62">
        <v>12.7</v>
      </c>
      <c r="F63" s="63">
        <v>0.04233333333333333</v>
      </c>
      <c r="G63" s="45" t="s">
        <v>427</v>
      </c>
      <c r="H63" s="45" t="s">
        <v>741</v>
      </c>
      <c r="I63" s="45" t="s">
        <v>742</v>
      </c>
      <c r="J63" s="45" t="s">
        <v>56</v>
      </c>
      <c r="K63" s="45" t="s">
        <v>743</v>
      </c>
      <c r="L63" s="46" t="s">
        <v>662</v>
      </c>
    </row>
    <row r="64" ht="27.75" customHeight="1">
      <c r="A64" s="44" t="s">
        <v>428</v>
      </c>
      <c r="B64" s="44" t="s">
        <v>429</v>
      </c>
      <c r="C64" s="44" t="s">
        <v>430</v>
      </c>
      <c r="D64" s="44" t="s">
        <v>431</v>
      </c>
      <c r="E64" s="64">
        <v>10.58</v>
      </c>
      <c r="F64" s="65">
        <v>0.03526666666666667</v>
      </c>
      <c r="G64" s="44" t="s">
        <v>744</v>
      </c>
      <c r="H64" s="44" t="s">
        <v>745</v>
      </c>
      <c r="I64" s="44" t="s">
        <v>681</v>
      </c>
      <c r="J64" s="44" t="s">
        <v>56</v>
      </c>
      <c r="K64" s="44" t="s">
        <v>746</v>
      </c>
      <c r="L64" s="44" t="s">
        <v>747</v>
      </c>
    </row>
    <row r="65" ht="37.5" customHeight="1">
      <c r="A65" s="45" t="s">
        <v>433</v>
      </c>
      <c r="B65" s="45" t="s">
        <v>434</v>
      </c>
      <c r="C65" s="45" t="s">
        <v>435</v>
      </c>
      <c r="D65" s="45" t="s">
        <v>424</v>
      </c>
      <c r="E65" s="62">
        <v>15.87</v>
      </c>
      <c r="F65" s="63">
        <v>0.0529</v>
      </c>
      <c r="G65" s="45" t="s">
        <v>748</v>
      </c>
      <c r="H65" s="45" t="s">
        <v>739</v>
      </c>
      <c r="I65" s="45" t="s">
        <v>681</v>
      </c>
      <c r="J65" s="45" t="s">
        <v>56</v>
      </c>
      <c r="K65" s="45" t="s">
        <v>749</v>
      </c>
      <c r="L65" s="46" t="s">
        <v>688</v>
      </c>
    </row>
    <row r="66" ht="15.75" customHeight="1"/>
    <row r="67" ht="15.75" customHeight="1"/>
    <row r="68" ht="37.5" customHeight="1">
      <c r="A68" s="42" t="s">
        <v>750</v>
      </c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31.5" customHeight="1">
      <c r="A69" s="43" t="s">
        <v>751</v>
      </c>
      <c r="B69" s="43" t="s">
        <v>752</v>
      </c>
      <c r="C69" s="43" t="s">
        <v>753</v>
      </c>
      <c r="D69" s="43" t="s">
        <v>754</v>
      </c>
      <c r="E69" s="43" t="s">
        <v>559</v>
      </c>
      <c r="F69" s="43" t="s">
        <v>755</v>
      </c>
    </row>
    <row r="70" ht="51.75" customHeight="1">
      <c r="A70" s="44" t="s">
        <v>623</v>
      </c>
      <c r="B70" s="64">
        <v>41.27</v>
      </c>
      <c r="C70" s="65">
        <v>0.1375666666666667</v>
      </c>
      <c r="D70" s="44" t="s">
        <v>626</v>
      </c>
      <c r="E70" s="44" t="s">
        <v>565</v>
      </c>
      <c r="F70" s="66">
        <v>0.02214823333333333</v>
      </c>
    </row>
    <row r="71" ht="51.75" customHeight="1">
      <c r="A71" s="45" t="s">
        <v>562</v>
      </c>
      <c r="B71" s="62">
        <v>41.27</v>
      </c>
      <c r="C71" s="63">
        <v>0.1375666666666667</v>
      </c>
      <c r="D71" s="45" t="s">
        <v>564</v>
      </c>
      <c r="E71" s="45" t="s">
        <v>565</v>
      </c>
      <c r="F71" s="67">
        <v>0.01030374333333334</v>
      </c>
    </row>
    <row r="72" ht="51.75" customHeight="1">
      <c r="A72" s="44" t="s">
        <v>684</v>
      </c>
      <c r="B72" s="64">
        <v>38.09</v>
      </c>
      <c r="C72" s="65">
        <v>0.1269666666666667</v>
      </c>
      <c r="D72" s="44" t="s">
        <v>739</v>
      </c>
      <c r="E72" s="44" t="s">
        <v>681</v>
      </c>
      <c r="F72" s="68"/>
    </row>
    <row r="73" ht="51.75" customHeight="1">
      <c r="A73" s="45" t="s">
        <v>268</v>
      </c>
      <c r="B73" s="62">
        <v>34.92</v>
      </c>
      <c r="C73" s="63">
        <v>0.1164</v>
      </c>
      <c r="D73" s="45" t="s">
        <v>640</v>
      </c>
      <c r="E73" s="45" t="s">
        <v>537</v>
      </c>
      <c r="F73" s="67">
        <v>0.01300188</v>
      </c>
    </row>
    <row r="74" ht="51.75" customHeight="1">
      <c r="A74" s="44" t="s">
        <v>589</v>
      </c>
      <c r="B74" s="64">
        <v>31.75</v>
      </c>
      <c r="C74" s="65">
        <v>0.1058333333333333</v>
      </c>
      <c r="D74" s="44" t="s">
        <v>591</v>
      </c>
      <c r="E74" s="44" t="s">
        <v>565</v>
      </c>
      <c r="F74" s="66">
        <v>0.0187325</v>
      </c>
    </row>
    <row r="75" ht="51.75" customHeight="1">
      <c r="A75" s="45" t="s">
        <v>300</v>
      </c>
      <c r="B75" s="62">
        <v>19.58</v>
      </c>
      <c r="C75" s="63">
        <v>0.06526666666666667</v>
      </c>
      <c r="D75" s="45" t="s">
        <v>644</v>
      </c>
      <c r="E75" s="45" t="s">
        <v>565</v>
      </c>
      <c r="F75" s="67">
        <v>-0.003883366666666667</v>
      </c>
    </row>
    <row r="76" ht="51.75" customHeight="1">
      <c r="A76" s="44" t="s">
        <v>634</v>
      </c>
      <c r="B76" s="64">
        <v>19.05</v>
      </c>
      <c r="C76" s="65">
        <v>0.0635</v>
      </c>
      <c r="D76" s="44" t="s">
        <v>636</v>
      </c>
      <c r="E76" s="44" t="s">
        <v>565</v>
      </c>
      <c r="F76" s="66">
        <v>0.0048133</v>
      </c>
    </row>
    <row r="77" ht="51.75" customHeight="1">
      <c r="A77" s="45" t="s">
        <v>573</v>
      </c>
      <c r="B77" s="62">
        <v>19.05</v>
      </c>
      <c r="C77" s="63">
        <v>0.0635</v>
      </c>
      <c r="D77" s="45" t="s">
        <v>576</v>
      </c>
      <c r="E77" s="45" t="s">
        <v>565</v>
      </c>
      <c r="F77" s="67">
        <v>0.0035814</v>
      </c>
    </row>
    <row r="78" ht="51.75" customHeight="1">
      <c r="A78" s="44" t="s">
        <v>283</v>
      </c>
      <c r="B78" s="64">
        <v>15.87</v>
      </c>
      <c r="C78" s="65">
        <v>0.0529</v>
      </c>
      <c r="D78" s="44" t="s">
        <v>674</v>
      </c>
      <c r="E78" s="44" t="s">
        <v>565</v>
      </c>
      <c r="F78" s="66">
        <v>0.039146</v>
      </c>
    </row>
    <row r="79" ht="51.75" customHeight="1">
      <c r="A79" s="45" t="s">
        <v>658</v>
      </c>
      <c r="B79" s="62">
        <v>12.7</v>
      </c>
      <c r="C79" s="63">
        <v>0.04233333333333333</v>
      </c>
      <c r="D79" s="45" t="s">
        <v>741</v>
      </c>
      <c r="E79" s="45" t="s">
        <v>742</v>
      </c>
      <c r="F79" s="69"/>
    </row>
    <row r="80" ht="51.75" customHeight="1">
      <c r="A80" s="44" t="s">
        <v>758</v>
      </c>
      <c r="B80" s="64">
        <v>10.58</v>
      </c>
      <c r="C80" s="65">
        <v>0.03526666666666667</v>
      </c>
      <c r="D80" s="44" t="s">
        <v>745</v>
      </c>
      <c r="E80" s="44" t="s">
        <v>681</v>
      </c>
      <c r="F80" s="66">
        <v>0.001509413333333334</v>
      </c>
    </row>
    <row r="81" ht="51.75" customHeight="1">
      <c r="A81" s="45" t="s">
        <v>667</v>
      </c>
      <c r="B81" s="62">
        <v>9.52</v>
      </c>
      <c r="C81" s="63">
        <v>0.03173333333333333</v>
      </c>
      <c r="D81" s="45" t="s">
        <v>670</v>
      </c>
      <c r="E81" s="45" t="s">
        <v>565</v>
      </c>
      <c r="F81" s="67">
        <v>0.006419653333333332</v>
      </c>
    </row>
    <row r="82" ht="51.75" customHeight="1">
      <c r="A82" s="44" t="s">
        <v>617</v>
      </c>
      <c r="B82" s="64">
        <v>6.35</v>
      </c>
      <c r="C82" s="65">
        <v>0.02116666666666667</v>
      </c>
      <c r="D82" s="44" t="s">
        <v>619</v>
      </c>
      <c r="E82" s="44" t="s">
        <v>565</v>
      </c>
      <c r="F82" s="66">
        <v>0.003208866666666668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A2:K2"/>
    <mergeCell ref="A4:K4"/>
    <mergeCell ref="A13:K13"/>
    <mergeCell ref="A23:K23"/>
    <mergeCell ref="A33:K33"/>
    <mergeCell ref="A43:K43"/>
    <mergeCell ref="A68:K68"/>
  </mergeCells>
  <hyperlinks>
    <hyperlink r:id="rId1" ref="G15"/>
    <hyperlink r:id="rId2" ref="G16"/>
    <hyperlink r:id="rId3" ref="G17"/>
    <hyperlink r:id="rId4" ref="G18"/>
    <hyperlink r:id="rId5" ref="G19"/>
    <hyperlink r:id="rId6" ref="G26"/>
    <hyperlink r:id="rId7" ref="G27"/>
    <hyperlink r:id="rId8" ref="G35"/>
    <hyperlink r:id="rId9" ref="G36"/>
    <hyperlink r:id="rId10" ref="G37"/>
    <hyperlink r:id="rId11" ref="G41"/>
    <hyperlink r:id="rId12" ref="L45"/>
    <hyperlink r:id="rId13" ref="L46"/>
    <hyperlink r:id="rId14" ref="L47"/>
    <hyperlink r:id="rId15" ref="L48"/>
    <hyperlink r:id="rId16" ref="L49"/>
    <hyperlink r:id="rId17" ref="L50"/>
    <hyperlink r:id="rId18" ref="L52"/>
    <hyperlink r:id="rId19" ref="L53"/>
    <hyperlink r:id="rId20" ref="L54"/>
    <hyperlink r:id="rId21" ref="L55"/>
    <hyperlink r:id="rId22" ref="L56"/>
    <hyperlink r:id="rId23" ref="L58"/>
    <hyperlink r:id="rId24" ref="L60"/>
    <hyperlink r:id="rId25" ref="L61"/>
    <hyperlink r:id="rId26" ref="L62"/>
    <hyperlink r:id="rId27" ref="L63"/>
    <hyperlink r:id="rId28" ref="L65"/>
  </hyperlinks>
  <printOptions/>
  <pageMargins bottom="0.4" footer="0.0" header="0.0" left="0.25" right="0.25" top="0.4"/>
  <pageSetup fitToHeight="0" orientation="landscape"/>
  <drawing r:id="rId2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pageSetUpPr fitToPage="1"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34.0"/>
    <col customWidth="1" min="3" max="3" width="68.0"/>
    <col customWidth="1" min="4" max="4" width="70.0"/>
    <col customWidth="1" min="5" max="5" width="18.0"/>
    <col customWidth="1" min="6" max="6" width="20.0"/>
    <col customWidth="1" min="7" max="7" width="26.0"/>
  </cols>
  <sheetData>
    <row r="1" ht="33.75" customHeight="1">
      <c r="A1" s="39" t="s">
        <v>756</v>
      </c>
      <c r="B1" s="2"/>
      <c r="C1" s="2"/>
      <c r="D1" s="2"/>
      <c r="E1" s="2"/>
      <c r="F1" s="2"/>
      <c r="G1" s="2"/>
    </row>
    <row r="3" ht="24.0" customHeight="1">
      <c r="A3" s="42" t="s">
        <v>757</v>
      </c>
      <c r="B3" s="2"/>
      <c r="C3" s="2"/>
      <c r="D3" s="2"/>
      <c r="E3" s="2"/>
      <c r="F3" s="2"/>
      <c r="G3" s="2"/>
    </row>
    <row r="4" ht="31.5" customHeight="1">
      <c r="A4" s="43" t="s">
        <v>25</v>
      </c>
      <c r="B4" s="43" t="s">
        <v>759</v>
      </c>
      <c r="C4" s="43" t="s">
        <v>760</v>
      </c>
      <c r="D4" s="43" t="s">
        <v>761</v>
      </c>
      <c r="E4" s="43" t="s">
        <v>79</v>
      </c>
    </row>
    <row r="5" ht="37.5" customHeight="1">
      <c r="A5" s="44" t="s">
        <v>762</v>
      </c>
      <c r="B5" s="44" t="s">
        <v>763</v>
      </c>
      <c r="C5" s="44" t="s">
        <v>764</v>
      </c>
      <c r="D5" s="44" t="s">
        <v>765</v>
      </c>
      <c r="E5" s="44" t="s">
        <v>766</v>
      </c>
    </row>
    <row r="6" ht="51.75" customHeight="1">
      <c r="A6" s="45" t="s">
        <v>767</v>
      </c>
      <c r="B6" s="45" t="s">
        <v>768</v>
      </c>
      <c r="C6" s="45" t="s">
        <v>769</v>
      </c>
      <c r="D6" s="45" t="s">
        <v>770</v>
      </c>
      <c r="E6" s="45" t="s">
        <v>771</v>
      </c>
    </row>
    <row r="7" ht="51.75" customHeight="1">
      <c r="A7" s="44" t="s">
        <v>772</v>
      </c>
      <c r="B7" s="44" t="s">
        <v>773</v>
      </c>
      <c r="C7" s="44" t="s">
        <v>774</v>
      </c>
      <c r="D7" s="44" t="s">
        <v>775</v>
      </c>
      <c r="E7" s="44" t="s">
        <v>776</v>
      </c>
    </row>
    <row r="10" ht="24.0" customHeight="1">
      <c r="A10" s="42" t="s">
        <v>777</v>
      </c>
      <c r="B10" s="2"/>
      <c r="C10" s="2"/>
      <c r="D10" s="2"/>
      <c r="E10" s="2"/>
      <c r="F10" s="2"/>
      <c r="G10" s="2"/>
    </row>
    <row r="11" ht="31.5" customHeight="1">
      <c r="A11" s="43" t="s">
        <v>778</v>
      </c>
      <c r="B11" s="43" t="s">
        <v>411</v>
      </c>
      <c r="C11" s="43" t="s">
        <v>262</v>
      </c>
    </row>
    <row r="12" ht="27.75" customHeight="1">
      <c r="A12" s="45" t="s">
        <v>779</v>
      </c>
      <c r="B12" s="62">
        <v>252.74</v>
      </c>
      <c r="C12" s="63">
        <f t="shared" ref="C12:C16" si="1">B12/357</f>
        <v>0.7079551821</v>
      </c>
    </row>
    <row r="13" ht="27.75" customHeight="1">
      <c r="A13" s="44" t="s">
        <v>424</v>
      </c>
      <c r="B13" s="64">
        <v>46.16</v>
      </c>
      <c r="C13" s="65">
        <f t="shared" si="1"/>
        <v>0.1292997199</v>
      </c>
    </row>
    <row r="14" ht="27.75" customHeight="1">
      <c r="A14" s="45" t="s">
        <v>458</v>
      </c>
      <c r="B14" s="62">
        <v>12.23</v>
      </c>
      <c r="C14" s="63">
        <f t="shared" si="1"/>
        <v>0.03425770308</v>
      </c>
    </row>
    <row r="15" ht="27.75" customHeight="1">
      <c r="A15" s="44" t="s">
        <v>456</v>
      </c>
      <c r="B15" s="64">
        <v>27.24</v>
      </c>
      <c r="C15" s="65">
        <f t="shared" si="1"/>
        <v>0.07630252101</v>
      </c>
    </row>
    <row r="16" ht="27.75" customHeight="1">
      <c r="A16" s="45" t="s">
        <v>284</v>
      </c>
      <c r="B16" s="62">
        <v>18.63</v>
      </c>
      <c r="C16" s="63">
        <f t="shared" si="1"/>
        <v>0.05218487395</v>
      </c>
    </row>
    <row r="19" ht="37.5" customHeight="1">
      <c r="A19" s="42" t="s">
        <v>780</v>
      </c>
      <c r="B19" s="2"/>
      <c r="C19" s="2"/>
      <c r="D19" s="2"/>
      <c r="E19" s="2"/>
      <c r="F19" s="2"/>
      <c r="G19" s="2"/>
    </row>
    <row r="20" ht="31.5" customHeight="1">
      <c r="A20" s="43" t="s">
        <v>781</v>
      </c>
      <c r="B20" s="43" t="s">
        <v>779</v>
      </c>
      <c r="C20" s="43" t="s">
        <v>424</v>
      </c>
      <c r="D20" s="43" t="s">
        <v>782</v>
      </c>
      <c r="E20" s="43" t="s">
        <v>456</v>
      </c>
      <c r="F20" s="43" t="s">
        <v>284</v>
      </c>
      <c r="G20" s="43" t="s">
        <v>783</v>
      </c>
    </row>
    <row r="21" ht="37.5" customHeight="1">
      <c r="A21" s="44" t="s">
        <v>784</v>
      </c>
      <c r="B21" s="65">
        <v>0.7</v>
      </c>
      <c r="C21" s="65">
        <v>0.2</v>
      </c>
      <c r="D21" s="65">
        <v>0.05</v>
      </c>
      <c r="E21" s="65">
        <v>0.05</v>
      </c>
      <c r="F21" s="65">
        <v>0.0</v>
      </c>
      <c r="G21" s="44" t="s">
        <v>785</v>
      </c>
    </row>
    <row r="22" ht="37.5" customHeight="1">
      <c r="A22" s="45" t="s">
        <v>786</v>
      </c>
      <c r="B22" s="63">
        <v>0.55</v>
      </c>
      <c r="C22" s="63">
        <v>0.35</v>
      </c>
      <c r="D22" s="63">
        <v>0.05</v>
      </c>
      <c r="E22" s="63">
        <v>0.05</v>
      </c>
      <c r="F22" s="63">
        <v>0.0</v>
      </c>
      <c r="G22" s="45" t="s">
        <v>787</v>
      </c>
    </row>
    <row r="23" ht="37.5" customHeight="1">
      <c r="A23" s="44" t="s">
        <v>788</v>
      </c>
      <c r="B23" s="65">
        <v>0.45</v>
      </c>
      <c r="C23" s="65">
        <v>0.4</v>
      </c>
      <c r="D23" s="65">
        <v>0.05</v>
      </c>
      <c r="E23" s="65">
        <v>0.1</v>
      </c>
      <c r="F23" s="65">
        <v>0.0</v>
      </c>
      <c r="G23" s="44" t="s">
        <v>789</v>
      </c>
    </row>
    <row r="24" ht="15.75" customHeight="1"/>
    <row r="25" ht="15.75" customHeight="1"/>
    <row r="26" ht="24.0" customHeight="1">
      <c r="A26" s="42" t="s">
        <v>790</v>
      </c>
      <c r="B26" s="2"/>
      <c r="C26" s="2"/>
      <c r="D26" s="2"/>
      <c r="E26" s="2"/>
      <c r="F26" s="2"/>
      <c r="G26" s="2"/>
    </row>
    <row r="27" ht="31.5" customHeight="1">
      <c r="A27" s="43" t="s">
        <v>792</v>
      </c>
      <c r="B27" s="43" t="s">
        <v>793</v>
      </c>
      <c r="C27" s="43" t="s">
        <v>794</v>
      </c>
      <c r="D27" s="43" t="s">
        <v>795</v>
      </c>
      <c r="E27" s="43" t="s">
        <v>796</v>
      </c>
    </row>
    <row r="28" ht="69.75" customHeight="1">
      <c r="A28" s="45" t="s">
        <v>797</v>
      </c>
      <c r="B28" s="45" t="s">
        <v>798</v>
      </c>
      <c r="C28" s="45" t="s">
        <v>799</v>
      </c>
      <c r="D28" s="45" t="s">
        <v>800</v>
      </c>
      <c r="E28" s="45" t="s">
        <v>801</v>
      </c>
    </row>
    <row r="29" ht="69.75" customHeight="1">
      <c r="A29" s="44" t="s">
        <v>748</v>
      </c>
      <c r="B29" s="44" t="s">
        <v>802</v>
      </c>
      <c r="C29" s="44" t="s">
        <v>799</v>
      </c>
      <c r="D29" s="44" t="s">
        <v>804</v>
      </c>
      <c r="E29" s="44" t="s">
        <v>805</v>
      </c>
    </row>
    <row r="30" ht="51.75" customHeight="1">
      <c r="A30" s="45" t="s">
        <v>782</v>
      </c>
      <c r="B30" s="45" t="s">
        <v>806</v>
      </c>
      <c r="C30" s="45" t="s">
        <v>799</v>
      </c>
      <c r="D30" s="45" t="s">
        <v>807</v>
      </c>
      <c r="E30" s="45" t="s">
        <v>808</v>
      </c>
    </row>
    <row r="31" ht="51.75" customHeight="1">
      <c r="A31" s="44" t="s">
        <v>809</v>
      </c>
      <c r="B31" s="44" t="s">
        <v>810</v>
      </c>
      <c r="C31" s="44" t="s">
        <v>799</v>
      </c>
      <c r="D31" s="44" t="s">
        <v>811</v>
      </c>
      <c r="E31" s="44" t="s">
        <v>812</v>
      </c>
    </row>
    <row r="32" ht="69.75" customHeight="1">
      <c r="A32" s="45" t="s">
        <v>284</v>
      </c>
      <c r="B32" s="45" t="s">
        <v>814</v>
      </c>
      <c r="C32" s="45" t="s">
        <v>815</v>
      </c>
      <c r="D32" s="45" t="s">
        <v>816</v>
      </c>
      <c r="E32" s="45" t="s">
        <v>817</v>
      </c>
    </row>
    <row r="33" ht="15.75" customHeight="1"/>
    <row r="34" ht="24.0" customHeight="1">
      <c r="A34" s="42" t="s">
        <v>818</v>
      </c>
      <c r="B34" s="2"/>
      <c r="C34" s="2"/>
      <c r="D34" s="2"/>
      <c r="E34" s="2"/>
      <c r="F34" s="2"/>
      <c r="G34" s="2"/>
    </row>
    <row r="35" ht="31.5" customHeight="1">
      <c r="A35" s="43" t="s">
        <v>781</v>
      </c>
      <c r="B35" s="43" t="s">
        <v>823</v>
      </c>
      <c r="C35" s="43" t="s">
        <v>824</v>
      </c>
      <c r="D35" s="43" t="s">
        <v>826</v>
      </c>
      <c r="E35" s="43" t="s">
        <v>827</v>
      </c>
      <c r="F35" s="43" t="s">
        <v>829</v>
      </c>
      <c r="G35" s="43" t="s">
        <v>831</v>
      </c>
    </row>
    <row r="36" ht="27.75" customHeight="1">
      <c r="A36" s="45" t="s">
        <v>784</v>
      </c>
      <c r="B36" s="71">
        <v>70.0</v>
      </c>
      <c r="C36" s="71">
        <v>20.0</v>
      </c>
      <c r="D36" s="71">
        <v>5.0</v>
      </c>
      <c r="E36" s="71">
        <v>5.0</v>
      </c>
      <c r="F36" s="71">
        <v>0.0</v>
      </c>
      <c r="G36" s="63">
        <v>0.0885</v>
      </c>
    </row>
    <row r="37" ht="27.75" customHeight="1">
      <c r="A37" s="44" t="s">
        <v>786</v>
      </c>
      <c r="B37" s="72">
        <v>55.00000000000001</v>
      </c>
      <c r="C37" s="72">
        <v>35.0</v>
      </c>
      <c r="D37" s="72">
        <v>5.0</v>
      </c>
      <c r="E37" s="72">
        <v>5.0</v>
      </c>
      <c r="F37" s="72">
        <v>0.0</v>
      </c>
      <c r="G37" s="65">
        <v>0.08325000000000002</v>
      </c>
    </row>
    <row r="38" ht="27.75" customHeight="1">
      <c r="A38" s="45" t="s">
        <v>788</v>
      </c>
      <c r="B38" s="71">
        <v>45.0</v>
      </c>
      <c r="C38" s="71">
        <v>40.0</v>
      </c>
      <c r="D38" s="71">
        <v>5.0</v>
      </c>
      <c r="E38" s="71">
        <v>10.0</v>
      </c>
      <c r="F38" s="71">
        <v>0.0</v>
      </c>
      <c r="G38" s="63">
        <v>0.0835</v>
      </c>
    </row>
    <row r="39" ht="15.75" customHeight="1"/>
    <row r="40" ht="15.75" customHeight="1"/>
    <row r="41" ht="15.75" customHeight="1"/>
    <row r="42" ht="24.0" customHeight="1">
      <c r="A42" s="42" t="s">
        <v>844</v>
      </c>
      <c r="B42" s="2"/>
      <c r="C42" s="2"/>
      <c r="D42" s="2"/>
      <c r="E42" s="2"/>
      <c r="F42" s="2"/>
      <c r="G42" s="2"/>
    </row>
    <row r="43" ht="31.5" customHeight="1">
      <c r="A43" s="43" t="s">
        <v>781</v>
      </c>
      <c r="B43" s="43" t="s">
        <v>850</v>
      </c>
      <c r="C43" s="43" t="s">
        <v>852</v>
      </c>
      <c r="D43" s="43" t="s">
        <v>854</v>
      </c>
      <c r="E43" s="43" t="s">
        <v>856</v>
      </c>
      <c r="F43" s="43" t="s">
        <v>858</v>
      </c>
    </row>
    <row r="44" ht="45.0" customHeight="1">
      <c r="A44" s="44" t="s">
        <v>784</v>
      </c>
      <c r="B44" s="65">
        <v>0.0885</v>
      </c>
      <c r="C44" s="73">
        <v>300.0</v>
      </c>
      <c r="D44" s="73" t="s">
        <v>861</v>
      </c>
      <c r="E44" s="73">
        <v>700.4958851376409</v>
      </c>
      <c r="F44" s="73" t="s">
        <v>862</v>
      </c>
    </row>
    <row r="45" ht="51.75" customHeight="1">
      <c r="A45" s="45" t="s">
        <v>786</v>
      </c>
      <c r="B45" s="63">
        <v>0.08325</v>
      </c>
      <c r="C45" s="74">
        <v>300.0</v>
      </c>
      <c r="D45" s="74" t="s">
        <v>861</v>
      </c>
      <c r="E45" s="74">
        <v>667.4338545352468</v>
      </c>
      <c r="F45" s="74" t="s">
        <v>866</v>
      </c>
    </row>
    <row r="46" ht="51.75" customHeight="1">
      <c r="A46" s="44" t="s">
        <v>788</v>
      </c>
      <c r="B46" s="65">
        <v>0.0835</v>
      </c>
      <c r="C46" s="73">
        <v>272.62</v>
      </c>
      <c r="D46" s="44" t="s">
        <v>869</v>
      </c>
      <c r="E46" s="73">
        <v>375.7278402285943</v>
      </c>
      <c r="F46" s="44" t="s">
        <v>870</v>
      </c>
    </row>
    <row r="47" ht="15.75" customHeight="1"/>
    <row r="48" ht="15.75" customHeight="1"/>
    <row r="49" ht="15.75" customHeight="1"/>
    <row r="50" ht="37.5" customHeight="1">
      <c r="A50" s="42" t="s">
        <v>873</v>
      </c>
      <c r="B50" s="2"/>
      <c r="C50" s="2"/>
      <c r="D50" s="2"/>
      <c r="E50" s="2"/>
      <c r="F50" s="2"/>
      <c r="G50" s="2"/>
    </row>
    <row r="51" ht="31.5" customHeight="1">
      <c r="A51" s="43" t="s">
        <v>24</v>
      </c>
      <c r="B51" s="43" t="s">
        <v>880</v>
      </c>
      <c r="C51" s="43" t="s">
        <v>882</v>
      </c>
      <c r="D51" s="43" t="s">
        <v>37</v>
      </c>
    </row>
    <row r="52" ht="37.5" customHeight="1">
      <c r="A52" s="44" t="s">
        <v>884</v>
      </c>
      <c r="B52" s="44" t="s">
        <v>885</v>
      </c>
      <c r="C52" s="44" t="s">
        <v>886</v>
      </c>
      <c r="D52" s="44" t="s">
        <v>887</v>
      </c>
    </row>
    <row r="53" ht="37.5" customHeight="1">
      <c r="A53" s="45" t="s">
        <v>889</v>
      </c>
      <c r="B53" s="45" t="s">
        <v>890</v>
      </c>
      <c r="C53" s="45" t="s">
        <v>891</v>
      </c>
      <c r="D53" s="45" t="s">
        <v>892</v>
      </c>
    </row>
    <row r="54" ht="51.75" customHeight="1">
      <c r="A54" s="44" t="s">
        <v>893</v>
      </c>
      <c r="B54" s="44" t="s">
        <v>895</v>
      </c>
      <c r="C54" s="44" t="s">
        <v>896</v>
      </c>
      <c r="D54" s="44" t="s">
        <v>897</v>
      </c>
    </row>
    <row r="55" ht="37.5" customHeight="1">
      <c r="A55" s="45" t="s">
        <v>899</v>
      </c>
      <c r="B55" s="45" t="s">
        <v>900</v>
      </c>
      <c r="C55" s="45" t="s">
        <v>901</v>
      </c>
      <c r="D55" s="45" t="s">
        <v>902</v>
      </c>
    </row>
    <row r="56" ht="37.5" customHeight="1">
      <c r="A56" s="78" t="s">
        <v>904</v>
      </c>
      <c r="C56" s="80" t="s">
        <v>906</v>
      </c>
      <c r="D56" s="2"/>
      <c r="E56" s="2"/>
      <c r="F56" s="2"/>
      <c r="G56" s="82" t="s">
        <v>909</v>
      </c>
    </row>
    <row r="57" ht="15.75" customHeight="1"/>
    <row r="58" ht="24.0" customHeight="1">
      <c r="A58" s="42" t="s">
        <v>914</v>
      </c>
      <c r="B58" s="2"/>
      <c r="C58" s="2"/>
      <c r="D58" s="2"/>
      <c r="E58" s="2"/>
      <c r="F58" s="2"/>
      <c r="G58" s="2"/>
    </row>
    <row r="59" ht="31.5" customHeight="1">
      <c r="A59" s="43" t="s">
        <v>910</v>
      </c>
      <c r="B59" s="43" t="s">
        <v>912</v>
      </c>
      <c r="C59" s="43" t="s">
        <v>913</v>
      </c>
      <c r="D59" s="43" t="s">
        <v>917</v>
      </c>
      <c r="E59" s="43" t="s">
        <v>916</v>
      </c>
      <c r="F59" s="43" t="s">
        <v>918</v>
      </c>
      <c r="G59" s="43" t="s">
        <v>863</v>
      </c>
    </row>
    <row r="60" ht="27.75" customHeight="1">
      <c r="A60" s="44" t="s">
        <v>779</v>
      </c>
      <c r="B60" s="64">
        <v>213.24</v>
      </c>
      <c r="C60" s="65">
        <v>0.7108</v>
      </c>
      <c r="D60" s="64">
        <v>135.0</v>
      </c>
      <c r="E60" s="65">
        <v>0.45</v>
      </c>
      <c r="F60" s="64">
        <v>-78.23999999999998</v>
      </c>
      <c r="G60" s="44" t="s">
        <v>930</v>
      </c>
    </row>
    <row r="61" ht="27.75" customHeight="1">
      <c r="A61" s="45" t="s">
        <v>424</v>
      </c>
      <c r="B61" s="62">
        <v>38.09</v>
      </c>
      <c r="C61" s="63">
        <v>0.1269666666666666</v>
      </c>
      <c r="D61" s="62">
        <v>120.0</v>
      </c>
      <c r="E61" s="63">
        <v>0.4</v>
      </c>
      <c r="F61" s="62">
        <v>81.91</v>
      </c>
      <c r="G61" s="45" t="s">
        <v>936</v>
      </c>
    </row>
    <row r="62" ht="27.75" customHeight="1">
      <c r="A62" s="44" t="s">
        <v>458</v>
      </c>
      <c r="B62" s="64">
        <v>10.58</v>
      </c>
      <c r="C62" s="65">
        <v>0.03526666666666667</v>
      </c>
      <c r="D62" s="64">
        <v>15.0</v>
      </c>
      <c r="E62" s="65">
        <v>0.05</v>
      </c>
      <c r="F62" s="64">
        <v>4.42</v>
      </c>
      <c r="G62" s="44" t="s">
        <v>936</v>
      </c>
    </row>
    <row r="63" ht="27.75" customHeight="1">
      <c r="A63" s="45" t="s">
        <v>456</v>
      </c>
      <c r="B63" s="62">
        <v>22.22</v>
      </c>
      <c r="C63" s="63">
        <v>0.07406666666666667</v>
      </c>
      <c r="D63" s="62">
        <v>30.0</v>
      </c>
      <c r="E63" s="63">
        <v>0.1</v>
      </c>
      <c r="F63" s="62">
        <v>7.780000000000001</v>
      </c>
      <c r="G63" s="45" t="s">
        <v>936</v>
      </c>
    </row>
    <row r="64" ht="27.75" customHeight="1">
      <c r="A64" s="44" t="s">
        <v>284</v>
      </c>
      <c r="B64" s="64">
        <v>15.87</v>
      </c>
      <c r="C64" s="65">
        <v>0.0529</v>
      </c>
      <c r="D64" s="64">
        <v>0.0</v>
      </c>
      <c r="E64" s="65">
        <v>0.0</v>
      </c>
      <c r="F64" s="64">
        <v>-15.87</v>
      </c>
      <c r="G64" s="44" t="s">
        <v>930</v>
      </c>
    </row>
    <row r="65" ht="15.75" customHeight="1"/>
    <row r="66" ht="15.75" customHeight="1"/>
    <row r="67" ht="37.5" customHeight="1">
      <c r="A67" s="42" t="s">
        <v>959</v>
      </c>
      <c r="B67" s="2"/>
      <c r="C67" s="2"/>
      <c r="D67" s="2"/>
      <c r="E67" s="2"/>
      <c r="F67" s="2"/>
      <c r="G67" s="2"/>
    </row>
    <row r="68" ht="31.5" customHeight="1">
      <c r="A68" s="43" t="s">
        <v>148</v>
      </c>
      <c r="B68" s="43" t="s">
        <v>863</v>
      </c>
      <c r="C68" s="43" t="s">
        <v>963</v>
      </c>
      <c r="D68" s="43" t="s">
        <v>964</v>
      </c>
    </row>
    <row r="69" ht="37.5" customHeight="1">
      <c r="A69" s="45" t="s">
        <v>153</v>
      </c>
      <c r="B69" s="45" t="s">
        <v>853</v>
      </c>
      <c r="C69" s="45" t="s">
        <v>965</v>
      </c>
      <c r="D69" s="45" t="s">
        <v>967</v>
      </c>
    </row>
    <row r="70" ht="51.75" customHeight="1">
      <c r="A70" s="44" t="s">
        <v>158</v>
      </c>
      <c r="B70" s="44" t="s">
        <v>968</v>
      </c>
      <c r="C70" s="44" t="s">
        <v>969</v>
      </c>
      <c r="D70" s="44" t="s">
        <v>970</v>
      </c>
    </row>
    <row r="71" ht="37.5" customHeight="1">
      <c r="A71" s="45" t="s">
        <v>165</v>
      </c>
      <c r="B71" s="45" t="s">
        <v>972</v>
      </c>
      <c r="C71" s="45" t="s">
        <v>974</v>
      </c>
      <c r="D71" s="45" t="s">
        <v>976</v>
      </c>
    </row>
    <row r="72" ht="27.75" customHeight="1">
      <c r="A72" s="44" t="s">
        <v>170</v>
      </c>
      <c r="B72" s="44" t="s">
        <v>977</v>
      </c>
      <c r="C72" s="44" t="s">
        <v>979</v>
      </c>
      <c r="D72" s="44" t="s">
        <v>980</v>
      </c>
    </row>
    <row r="73" ht="37.5" customHeight="1">
      <c r="A73" s="45" t="s">
        <v>175</v>
      </c>
      <c r="B73" s="45" t="s">
        <v>981</v>
      </c>
      <c r="C73" s="45" t="s">
        <v>984</v>
      </c>
      <c r="D73" s="45" t="s">
        <v>985</v>
      </c>
    </row>
    <row r="74" ht="37.5" customHeight="1">
      <c r="A74" s="44" t="s">
        <v>879</v>
      </c>
      <c r="B74" s="44" t="s">
        <v>986</v>
      </c>
      <c r="C74" s="44" t="s">
        <v>987</v>
      </c>
      <c r="D74" s="44" t="s">
        <v>989</v>
      </c>
    </row>
    <row r="75" ht="15.75" customHeight="1"/>
    <row r="76" ht="15.75" customHeight="1"/>
    <row r="77" ht="24.0" customHeight="1">
      <c r="A77" s="42" t="s">
        <v>991</v>
      </c>
      <c r="B77" s="2"/>
      <c r="C77" s="2"/>
      <c r="D77" s="2"/>
      <c r="E77" s="2"/>
      <c r="F77" s="2"/>
      <c r="G77" s="2"/>
    </row>
    <row r="78" ht="31.5" customHeight="1">
      <c r="A78" s="43" t="s">
        <v>25</v>
      </c>
      <c r="B78" s="43" t="s">
        <v>994</v>
      </c>
      <c r="C78" s="43" t="s">
        <v>995</v>
      </c>
      <c r="D78" s="43" t="s">
        <v>996</v>
      </c>
    </row>
    <row r="79" ht="37.5" customHeight="1">
      <c r="A79" s="45" t="s">
        <v>998</v>
      </c>
      <c r="B79" s="45" t="s">
        <v>1000</v>
      </c>
      <c r="C79" s="45" t="s">
        <v>1001</v>
      </c>
      <c r="D79" s="45" t="s">
        <v>1002</v>
      </c>
    </row>
    <row r="80" ht="37.5" customHeight="1">
      <c r="A80" s="44" t="s">
        <v>786</v>
      </c>
      <c r="B80" s="44" t="s">
        <v>1004</v>
      </c>
      <c r="C80" s="44" t="s">
        <v>1005</v>
      </c>
      <c r="D80" s="44" t="s">
        <v>1006</v>
      </c>
    </row>
    <row r="81" ht="51.75" customHeight="1">
      <c r="A81" s="45" t="s">
        <v>851</v>
      </c>
      <c r="B81" s="45" t="s">
        <v>1007</v>
      </c>
      <c r="C81" s="45" t="s">
        <v>1008</v>
      </c>
      <c r="D81" s="45" t="s">
        <v>1009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50:G50"/>
    <mergeCell ref="C56:F56"/>
    <mergeCell ref="A58:G58"/>
    <mergeCell ref="A67:G67"/>
    <mergeCell ref="A77:G77"/>
    <mergeCell ref="A1:G1"/>
    <mergeCell ref="A3:G3"/>
    <mergeCell ref="A10:G10"/>
    <mergeCell ref="A19:G19"/>
    <mergeCell ref="A26:G26"/>
    <mergeCell ref="A34:G34"/>
    <mergeCell ref="A42:G42"/>
  </mergeCells>
  <printOptions/>
  <pageMargins bottom="0.4" footer="0.0" header="0.0" left="0.25" right="0.25" top="0.4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 fitToPage="1"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42.0"/>
    <col customWidth="1" min="3" max="3" width="105.0"/>
    <col customWidth="1" min="4" max="5" width="48.0"/>
    <col customWidth="1" min="6" max="6" width="30.0"/>
    <col customWidth="1" min="7" max="7" width="42.0"/>
    <col customWidth="1" min="8" max="8" width="24.0"/>
  </cols>
  <sheetData>
    <row r="1" ht="33.75" customHeight="1">
      <c r="A1" s="39" t="s">
        <v>791</v>
      </c>
      <c r="B1" s="2"/>
      <c r="C1" s="2"/>
      <c r="D1" s="2"/>
      <c r="E1" s="2"/>
      <c r="F1" s="2"/>
      <c r="G1" s="2"/>
      <c r="H1" s="2"/>
    </row>
    <row r="2">
      <c r="A2" s="70" t="s">
        <v>803</v>
      </c>
      <c r="B2" s="2"/>
      <c r="C2" s="2"/>
      <c r="D2" s="2"/>
      <c r="E2" s="2"/>
      <c r="F2" s="2"/>
      <c r="G2" s="2"/>
      <c r="H2" s="2"/>
    </row>
    <row r="4" ht="24.0" customHeight="1">
      <c r="A4" s="42" t="s">
        <v>813</v>
      </c>
      <c r="B4" s="2"/>
      <c r="C4" s="2"/>
      <c r="D4" s="2"/>
      <c r="E4" s="2"/>
      <c r="F4" s="2"/>
      <c r="G4" s="2"/>
      <c r="H4" s="2"/>
    </row>
    <row r="5" ht="31.5" customHeight="1">
      <c r="A5" s="43" t="s">
        <v>495</v>
      </c>
      <c r="B5" s="43" t="s">
        <v>470</v>
      </c>
      <c r="C5" s="43" t="s">
        <v>819</v>
      </c>
    </row>
    <row r="6" ht="51.75" customHeight="1">
      <c r="A6" s="44" t="s">
        <v>820</v>
      </c>
      <c r="B6" s="44" t="s">
        <v>821</v>
      </c>
      <c r="C6" s="44" t="s">
        <v>822</v>
      </c>
    </row>
    <row r="7" ht="51.75" customHeight="1">
      <c r="A7" s="45" t="s">
        <v>825</v>
      </c>
      <c r="B7" s="45" t="s">
        <v>828</v>
      </c>
      <c r="C7" s="45" t="s">
        <v>830</v>
      </c>
    </row>
    <row r="8" ht="51.75" customHeight="1">
      <c r="A8" s="44" t="s">
        <v>832</v>
      </c>
      <c r="B8" s="44" t="s">
        <v>833</v>
      </c>
      <c r="C8" s="44" t="s">
        <v>834</v>
      </c>
    </row>
    <row r="10" ht="24.0" customHeight="1">
      <c r="A10" s="42" t="s">
        <v>835</v>
      </c>
      <c r="B10" s="2"/>
      <c r="C10" s="2"/>
      <c r="D10" s="2"/>
      <c r="E10" s="2"/>
      <c r="F10" s="2"/>
      <c r="G10" s="2"/>
      <c r="H10" s="2"/>
    </row>
    <row r="11" ht="31.5" customHeight="1">
      <c r="A11" s="43" t="s">
        <v>25</v>
      </c>
      <c r="B11" s="43" t="s">
        <v>836</v>
      </c>
      <c r="C11" s="43" t="s">
        <v>837</v>
      </c>
      <c r="D11" s="43" t="s">
        <v>838</v>
      </c>
      <c r="E11" s="43" t="s">
        <v>839</v>
      </c>
    </row>
    <row r="12" ht="27.75" customHeight="1">
      <c r="A12" s="44" t="s">
        <v>784</v>
      </c>
      <c r="B12" s="44" t="s">
        <v>840</v>
      </c>
      <c r="C12" s="44" t="s">
        <v>841</v>
      </c>
      <c r="D12" s="44" t="s">
        <v>842</v>
      </c>
      <c r="E12" s="44" t="s">
        <v>843</v>
      </c>
    </row>
    <row r="13" ht="27.75" customHeight="1">
      <c r="A13" s="45" t="s">
        <v>845</v>
      </c>
      <c r="B13" s="45" t="s">
        <v>846</v>
      </c>
      <c r="C13" s="45" t="s">
        <v>847</v>
      </c>
      <c r="D13" s="45" t="s">
        <v>848</v>
      </c>
      <c r="E13" s="45" t="s">
        <v>849</v>
      </c>
    </row>
    <row r="14" ht="37.5" customHeight="1">
      <c r="A14" s="44" t="s">
        <v>851</v>
      </c>
      <c r="B14" s="44" t="s">
        <v>853</v>
      </c>
      <c r="C14" s="44" t="s">
        <v>855</v>
      </c>
      <c r="D14" s="44" t="s">
        <v>857</v>
      </c>
      <c r="E14" s="44" t="s">
        <v>859</v>
      </c>
    </row>
    <row r="17" ht="24.0" customHeight="1">
      <c r="A17" s="42" t="s">
        <v>860</v>
      </c>
      <c r="B17" s="2"/>
      <c r="C17" s="2"/>
      <c r="D17" s="2"/>
      <c r="E17" s="2"/>
      <c r="F17" s="2"/>
      <c r="G17" s="2"/>
      <c r="H17" s="2"/>
    </row>
    <row r="18" ht="31.5" customHeight="1">
      <c r="A18" s="43" t="s">
        <v>148</v>
      </c>
      <c r="B18" s="43" t="s">
        <v>863</v>
      </c>
      <c r="C18" s="43" t="s">
        <v>783</v>
      </c>
    </row>
    <row r="19" ht="37.5" customHeight="1">
      <c r="A19" s="45" t="s">
        <v>153</v>
      </c>
      <c r="B19" s="45" t="s">
        <v>864</v>
      </c>
      <c r="C19" s="45" t="s">
        <v>865</v>
      </c>
    </row>
    <row r="20" ht="51.75" customHeight="1">
      <c r="A20" s="44" t="s">
        <v>158</v>
      </c>
      <c r="B20" s="44" t="s">
        <v>867</v>
      </c>
      <c r="C20" s="44" t="s">
        <v>868</v>
      </c>
    </row>
    <row r="21" ht="51.75" customHeight="1">
      <c r="A21" s="45" t="s">
        <v>165</v>
      </c>
      <c r="B21" s="45" t="s">
        <v>871</v>
      </c>
      <c r="C21" s="45" t="s">
        <v>872</v>
      </c>
    </row>
    <row r="22" ht="37.5" customHeight="1">
      <c r="A22" s="44" t="s">
        <v>170</v>
      </c>
      <c r="B22" s="44" t="s">
        <v>874</v>
      </c>
      <c r="C22" s="44" t="s">
        <v>875</v>
      </c>
    </row>
    <row r="23" ht="37.5" customHeight="1">
      <c r="A23" s="45" t="s">
        <v>175</v>
      </c>
      <c r="B23" s="45" t="s">
        <v>876</v>
      </c>
      <c r="C23" s="45" t="s">
        <v>877</v>
      </c>
    </row>
    <row r="24" ht="37.5" customHeight="1">
      <c r="A24" s="44" t="s">
        <v>879</v>
      </c>
      <c r="B24" s="44" t="s">
        <v>881</v>
      </c>
      <c r="C24" s="44" t="s">
        <v>883</v>
      </c>
    </row>
    <row r="25" ht="15.75" customHeight="1"/>
    <row r="26" ht="32.25" customHeight="1">
      <c r="A26" s="75" t="s">
        <v>888</v>
      </c>
      <c r="B26" s="2"/>
      <c r="C26" s="77" t="s">
        <v>898</v>
      </c>
      <c r="D26" s="2"/>
      <c r="E26" s="2"/>
      <c r="F26" s="2"/>
      <c r="G26" s="2"/>
      <c r="H26" s="2"/>
    </row>
    <row r="27" ht="15.75" customHeight="1"/>
    <row r="28" ht="15.75" customHeight="1"/>
    <row r="29" ht="30.0" customHeight="1">
      <c r="A29" s="79" t="s">
        <v>905</v>
      </c>
    </row>
    <row r="30" ht="30.0" customHeight="1">
      <c r="A30" s="81" t="s">
        <v>908</v>
      </c>
    </row>
    <row r="31" ht="15.75" customHeight="1"/>
    <row r="32" ht="15.75" customHeight="1">
      <c r="A32" s="83" t="s">
        <v>910</v>
      </c>
      <c r="B32" s="83" t="s">
        <v>912</v>
      </c>
      <c r="C32" s="83" t="s">
        <v>913</v>
      </c>
      <c r="D32" s="83" t="s">
        <v>916</v>
      </c>
      <c r="E32" s="83" t="s">
        <v>917</v>
      </c>
      <c r="F32" s="83" t="s">
        <v>918</v>
      </c>
      <c r="G32" s="83" t="s">
        <v>783</v>
      </c>
      <c r="H32" s="83" t="s">
        <v>919</v>
      </c>
    </row>
    <row r="33" ht="37.5" customHeight="1">
      <c r="A33" s="81" t="s">
        <v>454</v>
      </c>
      <c r="B33" s="81">
        <v>252.74</v>
      </c>
      <c r="C33" s="81">
        <v>0.707955182072829</v>
      </c>
      <c r="D33" s="81">
        <v>0.7</v>
      </c>
      <c r="E33" s="81">
        <v>249.9</v>
      </c>
      <c r="F33" s="81">
        <v>-2.84</v>
      </c>
      <c r="G33" s="81" t="s">
        <v>921</v>
      </c>
      <c r="H33" s="81" t="s">
        <v>922</v>
      </c>
    </row>
    <row r="34" ht="15.75" customHeight="1">
      <c r="A34" s="81" t="s">
        <v>424</v>
      </c>
      <c r="B34" s="81">
        <v>46.16</v>
      </c>
      <c r="C34" s="81">
        <v>0.1292997198879552</v>
      </c>
      <c r="D34" s="81">
        <v>0.2</v>
      </c>
      <c r="E34" s="81">
        <v>71.4</v>
      </c>
      <c r="F34" s="81">
        <v>25.24</v>
      </c>
      <c r="G34" s="81" t="s">
        <v>925</v>
      </c>
      <c r="H34" s="81" t="s">
        <v>926</v>
      </c>
    </row>
    <row r="35" ht="15.75" customHeight="1">
      <c r="A35" s="81" t="s">
        <v>458</v>
      </c>
      <c r="B35" s="81">
        <v>12.23</v>
      </c>
      <c r="C35" s="81">
        <v>0.03425770308123249</v>
      </c>
      <c r="D35" s="81">
        <v>0.05</v>
      </c>
      <c r="E35" s="81">
        <v>17.85</v>
      </c>
      <c r="F35" s="81">
        <v>5.62</v>
      </c>
      <c r="G35" s="81" t="s">
        <v>927</v>
      </c>
      <c r="H35" s="81" t="s">
        <v>929</v>
      </c>
    </row>
    <row r="36" ht="37.5" customHeight="1">
      <c r="A36" s="81" t="s">
        <v>456</v>
      </c>
      <c r="B36" s="81">
        <v>27.24</v>
      </c>
      <c r="C36" s="81">
        <v>0.07630252100840337</v>
      </c>
      <c r="D36" s="81">
        <v>0.05</v>
      </c>
      <c r="E36" s="81">
        <v>17.85</v>
      </c>
      <c r="F36" s="81">
        <v>-9.39</v>
      </c>
      <c r="G36" s="81" t="s">
        <v>932</v>
      </c>
      <c r="H36" s="81" t="s">
        <v>933</v>
      </c>
    </row>
    <row r="37" ht="15.75" customHeight="1">
      <c r="A37" s="81" t="s">
        <v>284</v>
      </c>
      <c r="B37" s="81">
        <v>18.63</v>
      </c>
      <c r="C37" s="81">
        <v>0.05218487394957983</v>
      </c>
      <c r="D37" s="81">
        <v>0.0</v>
      </c>
      <c r="E37" s="81">
        <v>0.0</v>
      </c>
      <c r="F37" s="81">
        <v>-18.63</v>
      </c>
      <c r="G37" s="81" t="s">
        <v>935</v>
      </c>
      <c r="H37" s="81" t="s">
        <v>937</v>
      </c>
    </row>
    <row r="38" ht="69.75" customHeight="1">
      <c r="A38" s="81" t="s">
        <v>939</v>
      </c>
    </row>
    <row r="39" ht="15.75" customHeight="1"/>
    <row r="40" ht="15.75" customHeight="1">
      <c r="A40" s="83" t="s">
        <v>940</v>
      </c>
      <c r="B40" s="83" t="s">
        <v>941</v>
      </c>
      <c r="C40" s="83" t="s">
        <v>943</v>
      </c>
      <c r="D40" s="83" t="s">
        <v>944</v>
      </c>
      <c r="E40" s="83" t="s">
        <v>858</v>
      </c>
    </row>
    <row r="41" ht="15.75" customHeight="1">
      <c r="A41" s="81" t="s">
        <v>945</v>
      </c>
      <c r="B41" s="81" t="s">
        <v>947</v>
      </c>
      <c r="C41" s="81" t="s">
        <v>948</v>
      </c>
      <c r="D41" s="81" t="s">
        <v>949</v>
      </c>
      <c r="E41" s="81" t="s">
        <v>950</v>
      </c>
    </row>
    <row r="42" ht="15.75" customHeight="1">
      <c r="A42" s="81" t="s">
        <v>951</v>
      </c>
      <c r="B42" s="81" t="s">
        <v>952</v>
      </c>
      <c r="C42" s="81" t="s">
        <v>953</v>
      </c>
      <c r="D42" s="81" t="s">
        <v>955</v>
      </c>
      <c r="E42" s="81" t="s">
        <v>956</v>
      </c>
    </row>
    <row r="43" ht="15.75" customHeight="1"/>
    <row r="44" ht="30.0" customHeight="1">
      <c r="A44" s="84" t="s">
        <v>958</v>
      </c>
    </row>
    <row r="45" ht="69.75" customHeight="1">
      <c r="A45" s="81" t="s">
        <v>961</v>
      </c>
    </row>
    <row r="46" ht="15.75" customHeight="1"/>
    <row r="47" ht="15.75" customHeight="1">
      <c r="A47" s="83" t="s">
        <v>910</v>
      </c>
      <c r="B47" s="83" t="s">
        <v>912</v>
      </c>
      <c r="C47" s="83" t="s">
        <v>913</v>
      </c>
      <c r="D47" s="83" t="s">
        <v>916</v>
      </c>
      <c r="E47" s="83" t="s">
        <v>917</v>
      </c>
      <c r="F47" s="83" t="s">
        <v>918</v>
      </c>
      <c r="G47" s="83" t="s">
        <v>783</v>
      </c>
      <c r="H47" s="83" t="s">
        <v>919</v>
      </c>
    </row>
    <row r="48" ht="15.75" customHeight="1">
      <c r="A48" s="81" t="s">
        <v>454</v>
      </c>
      <c r="B48" s="81">
        <v>252.74</v>
      </c>
      <c r="C48" s="81">
        <v>0.707955182072829</v>
      </c>
      <c r="D48" s="81">
        <v>0.55</v>
      </c>
      <c r="E48" s="81">
        <v>196.35</v>
      </c>
      <c r="F48" s="81">
        <v>-56.39</v>
      </c>
      <c r="G48" s="81" t="s">
        <v>973</v>
      </c>
      <c r="H48" s="81" t="s">
        <v>922</v>
      </c>
    </row>
    <row r="49" ht="15.75" customHeight="1">
      <c r="A49" s="81" t="s">
        <v>424</v>
      </c>
      <c r="B49" s="81">
        <v>46.16</v>
      </c>
      <c r="C49" s="81">
        <v>0.1292997198879552</v>
      </c>
      <c r="D49" s="81">
        <v>0.35</v>
      </c>
      <c r="E49" s="81">
        <v>124.95</v>
      </c>
      <c r="F49" s="81">
        <v>78.79</v>
      </c>
      <c r="G49" s="81" t="s">
        <v>982</v>
      </c>
      <c r="H49" s="81" t="s">
        <v>926</v>
      </c>
    </row>
    <row r="50" ht="15.75" customHeight="1">
      <c r="A50" s="81" t="s">
        <v>458</v>
      </c>
      <c r="B50" s="81">
        <v>12.23</v>
      </c>
      <c r="C50" s="81">
        <v>0.03425770308123249</v>
      </c>
      <c r="D50" s="81">
        <v>0.05</v>
      </c>
      <c r="E50" s="81">
        <v>17.85</v>
      </c>
      <c r="F50" s="81">
        <v>5.62</v>
      </c>
      <c r="G50" s="81" t="s">
        <v>990</v>
      </c>
      <c r="H50" s="81" t="s">
        <v>929</v>
      </c>
    </row>
    <row r="51" ht="15.75" customHeight="1">
      <c r="A51" s="81" t="s">
        <v>456</v>
      </c>
      <c r="B51" s="81">
        <v>27.24</v>
      </c>
      <c r="C51" s="81">
        <v>0.07630252100840337</v>
      </c>
      <c r="D51" s="81">
        <v>0.05</v>
      </c>
      <c r="E51" s="81">
        <v>17.85</v>
      </c>
      <c r="F51" s="81">
        <v>-9.39</v>
      </c>
      <c r="G51" s="81" t="s">
        <v>993</v>
      </c>
      <c r="H51" s="81" t="s">
        <v>933</v>
      </c>
    </row>
    <row r="52" ht="15.75" customHeight="1">
      <c r="A52" s="81" t="s">
        <v>284</v>
      </c>
      <c r="B52" s="81">
        <v>18.63</v>
      </c>
      <c r="C52" s="81">
        <v>0.05218487394957983</v>
      </c>
      <c r="D52" s="81">
        <v>0.0</v>
      </c>
      <c r="E52" s="81">
        <v>0.0</v>
      </c>
      <c r="F52" s="81">
        <v>-18.63</v>
      </c>
      <c r="G52" s="81" t="s">
        <v>999</v>
      </c>
      <c r="H52" s="81" t="s">
        <v>937</v>
      </c>
    </row>
    <row r="53" ht="69.75" customHeight="1">
      <c r="A53" s="81" t="s">
        <v>1003</v>
      </c>
    </row>
    <row r="54" ht="15.75" customHeight="1"/>
    <row r="55" ht="15.75" customHeight="1">
      <c r="A55" s="83" t="s">
        <v>940</v>
      </c>
      <c r="B55" s="83" t="s">
        <v>941</v>
      </c>
      <c r="C55" s="83" t="s">
        <v>943</v>
      </c>
      <c r="D55" s="83" t="s">
        <v>944</v>
      </c>
      <c r="E55" s="83" t="s">
        <v>858</v>
      </c>
    </row>
    <row r="56" ht="15.75" customHeight="1">
      <c r="A56" s="81" t="s">
        <v>945</v>
      </c>
      <c r="B56" s="81" t="s">
        <v>947</v>
      </c>
      <c r="C56" s="81" t="s">
        <v>1011</v>
      </c>
      <c r="D56" s="81" t="s">
        <v>1012</v>
      </c>
      <c r="E56" s="81" t="s">
        <v>1013</v>
      </c>
    </row>
    <row r="57" ht="15.75" customHeight="1">
      <c r="A57" s="81" t="s">
        <v>1014</v>
      </c>
      <c r="B57" s="81" t="s">
        <v>1015</v>
      </c>
      <c r="C57" s="81" t="s">
        <v>1016</v>
      </c>
      <c r="D57" s="81" t="s">
        <v>1018</v>
      </c>
      <c r="E57" s="81" t="s">
        <v>1019</v>
      </c>
    </row>
    <row r="58" ht="15.75" customHeight="1"/>
    <row r="59" ht="37.5" customHeight="1">
      <c r="A59" s="85" t="s">
        <v>1020</v>
      </c>
    </row>
    <row r="60" ht="54.75" customHeight="1">
      <c r="A60" s="81" t="s">
        <v>1021</v>
      </c>
    </row>
    <row r="61" ht="15.75" customHeight="1"/>
    <row r="62" ht="15.75" customHeight="1">
      <c r="A62" s="83" t="s">
        <v>910</v>
      </c>
      <c r="B62" s="83" t="s">
        <v>912</v>
      </c>
      <c r="C62" s="83" t="s">
        <v>913</v>
      </c>
      <c r="D62" s="83" t="s">
        <v>916</v>
      </c>
      <c r="E62" s="83" t="s">
        <v>917</v>
      </c>
      <c r="F62" s="83" t="s">
        <v>918</v>
      </c>
      <c r="G62" s="83" t="s">
        <v>783</v>
      </c>
      <c r="H62" s="83" t="s">
        <v>919</v>
      </c>
    </row>
    <row r="63" ht="37.5" customHeight="1">
      <c r="A63" s="81" t="s">
        <v>454</v>
      </c>
      <c r="B63" s="81">
        <v>252.74</v>
      </c>
      <c r="C63" s="81">
        <v>0.707955182072829</v>
      </c>
      <c r="D63" s="81">
        <v>0.45</v>
      </c>
      <c r="E63" s="81">
        <v>160.65</v>
      </c>
      <c r="F63" s="81">
        <v>-92.09</v>
      </c>
      <c r="G63" s="81" t="s">
        <v>1024</v>
      </c>
      <c r="H63" s="81" t="s">
        <v>922</v>
      </c>
    </row>
    <row r="64" ht="15.75" customHeight="1">
      <c r="A64" s="81" t="s">
        <v>424</v>
      </c>
      <c r="B64" s="81">
        <v>46.16</v>
      </c>
      <c r="C64" s="81">
        <v>0.1292997198879552</v>
      </c>
      <c r="D64" s="81">
        <v>0.4</v>
      </c>
      <c r="E64" s="81">
        <v>142.8</v>
      </c>
      <c r="F64" s="81">
        <v>96.64</v>
      </c>
      <c r="G64" s="81" t="s">
        <v>1026</v>
      </c>
      <c r="H64" s="81" t="s">
        <v>926</v>
      </c>
    </row>
    <row r="65" ht="15.75" customHeight="1">
      <c r="A65" s="81" t="s">
        <v>458</v>
      </c>
      <c r="B65" s="81">
        <v>12.23</v>
      </c>
      <c r="C65" s="81">
        <v>0.03425770308123249</v>
      </c>
      <c r="D65" s="81">
        <v>0.05</v>
      </c>
      <c r="E65" s="81">
        <v>17.85</v>
      </c>
      <c r="F65" s="81">
        <v>5.62</v>
      </c>
      <c r="G65" s="81" t="s">
        <v>1028</v>
      </c>
      <c r="H65" s="81" t="s">
        <v>929</v>
      </c>
    </row>
    <row r="66" ht="37.5" customHeight="1">
      <c r="A66" s="81" t="s">
        <v>456</v>
      </c>
      <c r="B66" s="81">
        <v>27.24</v>
      </c>
      <c r="C66" s="81">
        <v>0.07630252100840337</v>
      </c>
      <c r="D66" s="81">
        <v>0.1</v>
      </c>
      <c r="E66" s="81">
        <v>35.7</v>
      </c>
      <c r="F66" s="81">
        <v>8.46</v>
      </c>
      <c r="G66" s="81" t="s">
        <v>1030</v>
      </c>
      <c r="H66" s="81" t="s">
        <v>933</v>
      </c>
    </row>
    <row r="67" ht="15.75" customHeight="1">
      <c r="A67" s="81" t="s">
        <v>284</v>
      </c>
      <c r="B67" s="81">
        <v>18.63</v>
      </c>
      <c r="C67" s="81">
        <v>0.05218487394957983</v>
      </c>
      <c r="D67" s="81">
        <v>0.0</v>
      </c>
      <c r="E67" s="81">
        <v>0.0</v>
      </c>
      <c r="F67" s="81">
        <v>-18.63</v>
      </c>
      <c r="G67" s="81" t="s">
        <v>1032</v>
      </c>
      <c r="H67" s="81" t="s">
        <v>937</v>
      </c>
    </row>
    <row r="68" ht="90.0" customHeight="1">
      <c r="A68" s="81" t="s">
        <v>1034</v>
      </c>
    </row>
    <row r="69" ht="15.75" customHeight="1"/>
    <row r="70" ht="15.75" customHeight="1">
      <c r="A70" s="83" t="s">
        <v>940</v>
      </c>
      <c r="B70" s="83" t="s">
        <v>941</v>
      </c>
      <c r="C70" s="83" t="s">
        <v>943</v>
      </c>
      <c r="D70" s="83" t="s">
        <v>944</v>
      </c>
      <c r="E70" s="83" t="s">
        <v>858</v>
      </c>
    </row>
    <row r="71" ht="15.75" customHeight="1">
      <c r="A71" s="81" t="s">
        <v>884</v>
      </c>
      <c r="B71" s="81" t="s">
        <v>885</v>
      </c>
      <c r="C71" s="81" t="s">
        <v>885</v>
      </c>
      <c r="D71" s="81" t="s">
        <v>1037</v>
      </c>
      <c r="E71" s="81" t="s">
        <v>1038</v>
      </c>
    </row>
    <row r="72" ht="15.75" customHeight="1">
      <c r="A72" s="81" t="s">
        <v>1039</v>
      </c>
      <c r="B72" s="81" t="s">
        <v>895</v>
      </c>
      <c r="C72" s="81" t="s">
        <v>895</v>
      </c>
      <c r="D72" s="81" t="s">
        <v>1041</v>
      </c>
      <c r="E72" s="81" t="s">
        <v>1042</v>
      </c>
    </row>
    <row r="73" ht="15.75" customHeight="1">
      <c r="A73" s="81" t="s">
        <v>899</v>
      </c>
      <c r="B73" s="81" t="s">
        <v>900</v>
      </c>
      <c r="C73" s="81" t="s">
        <v>900</v>
      </c>
      <c r="D73" s="81" t="s">
        <v>1044</v>
      </c>
      <c r="E73" s="81" t="s">
        <v>1045</v>
      </c>
    </row>
    <row r="74" ht="15.75" customHeight="1"/>
    <row r="75" ht="30.0" customHeight="1">
      <c r="A75" s="81" t="s">
        <v>1047</v>
      </c>
    </row>
    <row r="76" ht="15.75" customHeight="1">
      <c r="A76" s="83" t="s">
        <v>1049</v>
      </c>
      <c r="B76" s="83" t="s">
        <v>863</v>
      </c>
      <c r="C76" s="83" t="s">
        <v>1050</v>
      </c>
      <c r="D76" s="83" t="s">
        <v>470</v>
      </c>
      <c r="E76" s="83" t="s">
        <v>1051</v>
      </c>
      <c r="F76" s="83" t="s">
        <v>1052</v>
      </c>
    </row>
    <row r="77" ht="15.75" customHeight="1">
      <c r="A77" s="81" t="s">
        <v>153</v>
      </c>
      <c r="B77" s="81" t="s">
        <v>1053</v>
      </c>
      <c r="C77" s="81" t="s">
        <v>1055</v>
      </c>
      <c r="D77" s="81" t="s">
        <v>1056</v>
      </c>
      <c r="E77" s="81" t="s">
        <v>1057</v>
      </c>
      <c r="F77" s="81" t="s">
        <v>1058</v>
      </c>
    </row>
    <row r="78" ht="15.75" customHeight="1">
      <c r="A78" s="81" t="s">
        <v>158</v>
      </c>
      <c r="B78" s="81" t="s">
        <v>853</v>
      </c>
      <c r="C78" s="81" t="s">
        <v>1059</v>
      </c>
      <c r="D78" s="81" t="s">
        <v>1060</v>
      </c>
      <c r="E78" s="81" t="s">
        <v>1061</v>
      </c>
      <c r="F78" s="81" t="s">
        <v>202</v>
      </c>
    </row>
    <row r="79" ht="15.75" customHeight="1">
      <c r="A79" s="81" t="s">
        <v>165</v>
      </c>
      <c r="B79" s="81" t="s">
        <v>1062</v>
      </c>
      <c r="C79" s="81" t="s">
        <v>1063</v>
      </c>
      <c r="D79" s="81" t="s">
        <v>1064</v>
      </c>
      <c r="E79" s="81" t="s">
        <v>1065</v>
      </c>
      <c r="F79" s="81" t="s">
        <v>1066</v>
      </c>
    </row>
    <row r="80" ht="15.75" customHeight="1">
      <c r="A80" s="81" t="s">
        <v>170</v>
      </c>
      <c r="B80" s="81" t="s">
        <v>1067</v>
      </c>
      <c r="C80" s="81" t="s">
        <v>1068</v>
      </c>
      <c r="D80" s="81" t="s">
        <v>1069</v>
      </c>
      <c r="E80" s="81" t="s">
        <v>1070</v>
      </c>
      <c r="F80" s="81" t="s">
        <v>1071</v>
      </c>
    </row>
    <row r="81" ht="15.75" customHeight="1">
      <c r="A81" s="81" t="s">
        <v>175</v>
      </c>
      <c r="B81" s="81" t="s">
        <v>1072</v>
      </c>
      <c r="C81" s="81" t="s">
        <v>1073</v>
      </c>
      <c r="D81" s="81" t="s">
        <v>1074</v>
      </c>
      <c r="E81" s="81" t="s">
        <v>1076</v>
      </c>
      <c r="F81" s="81" t="s">
        <v>1071</v>
      </c>
    </row>
    <row r="82" ht="15.75" customHeight="1">
      <c r="A82" s="81" t="s">
        <v>879</v>
      </c>
      <c r="B82" s="81" t="s">
        <v>1077</v>
      </c>
      <c r="C82" s="81" t="s">
        <v>1078</v>
      </c>
      <c r="D82" s="81" t="s">
        <v>1079</v>
      </c>
      <c r="E82" s="81" t="s">
        <v>1081</v>
      </c>
      <c r="F82" s="81" t="s">
        <v>1058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7">
    <mergeCell ref="A1:H1"/>
    <mergeCell ref="A2:H2"/>
    <mergeCell ref="A4:H4"/>
    <mergeCell ref="A10:H10"/>
    <mergeCell ref="A17:H17"/>
    <mergeCell ref="A26:B26"/>
    <mergeCell ref="A59:H59"/>
    <mergeCell ref="A60:H60"/>
    <mergeCell ref="A68:H68"/>
    <mergeCell ref="A75:H75"/>
    <mergeCell ref="C26:H26"/>
    <mergeCell ref="A29:H29"/>
    <mergeCell ref="A30:H30"/>
    <mergeCell ref="A38:H38"/>
    <mergeCell ref="A44:H44"/>
    <mergeCell ref="A45:H45"/>
    <mergeCell ref="A53:H53"/>
  </mergeCells>
  <printOptions/>
  <pageMargins bottom="0.4" footer="0.0" header="0.0" left="0.25" right="0.25" top="0.4"/>
  <pageSetup fitToHeight="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64A2"/>
    <pageSetUpPr fitToPage="1"/>
  </sheetPr>
  <sheetViews>
    <sheetView showGridLines="0" workbookViewId="0"/>
  </sheetViews>
  <sheetFormatPr customHeight="1" defaultColWidth="14.43" defaultRowHeight="15.0"/>
  <cols>
    <col customWidth="1" min="1" max="1" width="58.0"/>
    <col customWidth="1" min="2" max="2" width="42.0"/>
    <col customWidth="1" min="3" max="3" width="100.0"/>
    <col customWidth="1" min="4" max="4" width="36.0"/>
    <col customWidth="1" min="5" max="5" width="32.0"/>
    <col customWidth="1" min="6" max="6" width="26.0"/>
    <col customWidth="1" min="7" max="7" width="42.0"/>
    <col customWidth="1" min="8" max="12" width="24.0"/>
  </cols>
  <sheetData>
    <row r="1" ht="33.75" customHeight="1">
      <c r="A1" s="1" t="s">
        <v>878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8.5" customHeight="1">
      <c r="A2" s="76" t="s">
        <v>894</v>
      </c>
    </row>
    <row r="4" ht="24.0" customHeight="1">
      <c r="A4" s="6" t="s">
        <v>903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27.75" customHeight="1">
      <c r="A5" s="10" t="s">
        <v>907</v>
      </c>
      <c r="B5" s="10" t="s">
        <v>911</v>
      </c>
      <c r="C5" s="10" t="s">
        <v>915</v>
      </c>
    </row>
    <row r="6" ht="69.75" customHeight="1">
      <c r="A6" s="11" t="s">
        <v>920</v>
      </c>
      <c r="B6" s="11" t="s">
        <v>923</v>
      </c>
      <c r="C6" s="11" t="s">
        <v>924</v>
      </c>
    </row>
    <row r="7" ht="51.75" customHeight="1">
      <c r="A7" s="11" t="s">
        <v>928</v>
      </c>
      <c r="B7" s="11" t="s">
        <v>931</v>
      </c>
      <c r="C7" s="11" t="s">
        <v>934</v>
      </c>
    </row>
    <row r="8" ht="37.5" customHeight="1">
      <c r="A8" s="11" t="s">
        <v>938</v>
      </c>
      <c r="B8" s="11" t="s">
        <v>942</v>
      </c>
      <c r="C8" s="11" t="s">
        <v>946</v>
      </c>
    </row>
    <row r="9" ht="37.5" customHeight="1">
      <c r="A9" s="11" t="s">
        <v>954</v>
      </c>
      <c r="B9" s="11" t="s">
        <v>957</v>
      </c>
      <c r="C9" s="11" t="s">
        <v>960</v>
      </c>
    </row>
    <row r="10" ht="37.5" customHeight="1">
      <c r="A10" s="11" t="s">
        <v>962</v>
      </c>
      <c r="B10" s="11" t="s">
        <v>98</v>
      </c>
      <c r="C10" s="11" t="s">
        <v>966</v>
      </c>
    </row>
    <row r="11" ht="37.5" customHeight="1">
      <c r="A11" s="11" t="s">
        <v>971</v>
      </c>
      <c r="B11" s="11" t="s">
        <v>975</v>
      </c>
      <c r="C11" s="11" t="s">
        <v>978</v>
      </c>
    </row>
    <row r="12" ht="37.5" customHeight="1">
      <c r="A12" s="11" t="s">
        <v>983</v>
      </c>
      <c r="B12" s="11" t="s">
        <v>988</v>
      </c>
      <c r="C12" s="11" t="s">
        <v>992</v>
      </c>
    </row>
    <row r="14" ht="24.0" customHeight="1">
      <c r="A14" s="6" t="s">
        <v>997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27.75" customHeight="1">
      <c r="A15" s="10" t="s">
        <v>495</v>
      </c>
      <c r="B15" s="10" t="s">
        <v>1010</v>
      </c>
    </row>
    <row r="16" ht="69.75" customHeight="1">
      <c r="A16" s="11" t="s">
        <v>485</v>
      </c>
      <c r="B16" s="11" t="s">
        <v>1017</v>
      </c>
    </row>
    <row r="17" ht="69.75" customHeight="1">
      <c r="A17" s="11" t="s">
        <v>284</v>
      </c>
      <c r="B17" s="11" t="s">
        <v>1022</v>
      </c>
    </row>
    <row r="18" ht="69.75" customHeight="1">
      <c r="A18" s="11" t="s">
        <v>528</v>
      </c>
      <c r="B18" s="11" t="s">
        <v>1023</v>
      </c>
    </row>
    <row r="20" ht="15.75" customHeight="1"/>
    <row r="21" ht="24.0" customHeight="1">
      <c r="A21" s="6" t="s">
        <v>1025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ht="27.75" customHeight="1">
      <c r="A22" s="10" t="s">
        <v>1027</v>
      </c>
      <c r="B22" s="10" t="s">
        <v>1029</v>
      </c>
    </row>
    <row r="23" ht="51.75" customHeight="1">
      <c r="A23" s="11" t="s">
        <v>1031</v>
      </c>
      <c r="B23" s="11" t="s">
        <v>1033</v>
      </c>
    </row>
    <row r="24" ht="51.75" customHeight="1">
      <c r="A24" s="11" t="s">
        <v>1035</v>
      </c>
      <c r="B24" s="11" t="s">
        <v>1036</v>
      </c>
    </row>
    <row r="25" ht="69.75" customHeight="1">
      <c r="A25" s="11" t="s">
        <v>1040</v>
      </c>
      <c r="B25" s="11" t="s">
        <v>1043</v>
      </c>
    </row>
    <row r="26" ht="69.75" customHeight="1">
      <c r="A26" s="11" t="s">
        <v>1046</v>
      </c>
      <c r="B26" s="11" t="s">
        <v>1048</v>
      </c>
    </row>
    <row r="27" ht="15.75" customHeight="1"/>
    <row r="28" ht="15.75" customHeight="1"/>
    <row r="29" ht="24.0" customHeight="1">
      <c r="A29" s="6" t="s">
        <v>1054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ht="27.75" customHeight="1">
      <c r="A30" s="10" t="s">
        <v>356</v>
      </c>
      <c r="B30" s="10" t="s">
        <v>305</v>
      </c>
    </row>
    <row r="31" ht="24.75" customHeight="1">
      <c r="A31" s="11" t="s">
        <v>1075</v>
      </c>
      <c r="B31" s="11" t="s">
        <v>1080</v>
      </c>
    </row>
    <row r="32" ht="24.75" customHeight="1">
      <c r="A32" s="11" t="s">
        <v>1082</v>
      </c>
      <c r="B32" s="11" t="s">
        <v>1080</v>
      </c>
    </row>
    <row r="33" ht="24.75" customHeight="1">
      <c r="A33" s="11" t="s">
        <v>1084</v>
      </c>
      <c r="B33" s="11" t="s">
        <v>1080</v>
      </c>
    </row>
    <row r="34" ht="24.75" customHeight="1">
      <c r="A34" s="11" t="s">
        <v>1086</v>
      </c>
      <c r="B34" s="11" t="s">
        <v>1080</v>
      </c>
    </row>
    <row r="35" ht="24.75" customHeight="1">
      <c r="A35" s="11" t="s">
        <v>1087</v>
      </c>
      <c r="B35" s="11" t="s">
        <v>1080</v>
      </c>
    </row>
    <row r="36" ht="24.75" customHeight="1">
      <c r="A36" s="11" t="s">
        <v>1088</v>
      </c>
      <c r="B36" s="11" t="s">
        <v>1080</v>
      </c>
    </row>
    <row r="37" ht="24.75" customHeight="1">
      <c r="A37" s="11" t="s">
        <v>1091</v>
      </c>
      <c r="B37" s="11" t="s">
        <v>1080</v>
      </c>
    </row>
    <row r="38" ht="15.75" customHeight="1"/>
    <row r="39" ht="15.75" customHeight="1"/>
    <row r="40" ht="37.5" customHeight="1">
      <c r="A40" s="18" t="s">
        <v>1095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ht="15.75" customHeight="1"/>
    <row r="42" ht="37.5" customHeight="1">
      <c r="A42" s="81" t="s">
        <v>1099</v>
      </c>
    </row>
    <row r="43" ht="51.75" customHeight="1">
      <c r="A43" s="81" t="s">
        <v>1100</v>
      </c>
    </row>
    <row r="44" ht="15.75" customHeight="1"/>
    <row r="45" ht="30.0" customHeight="1">
      <c r="A45" s="86" t="s">
        <v>1101</v>
      </c>
    </row>
    <row r="46" ht="15.75" customHeight="1">
      <c r="A46" s="83" t="s">
        <v>470</v>
      </c>
      <c r="B46" s="83" t="s">
        <v>1102</v>
      </c>
      <c r="C46" s="83" t="s">
        <v>1104</v>
      </c>
    </row>
    <row r="47" ht="15.75" customHeight="1">
      <c r="A47" s="81" t="s">
        <v>379</v>
      </c>
      <c r="B47" s="81" t="s">
        <v>1105</v>
      </c>
      <c r="C47" s="81" t="s">
        <v>1106</v>
      </c>
    </row>
    <row r="48" ht="15.75" customHeight="1">
      <c r="A48" s="81" t="s">
        <v>1014</v>
      </c>
      <c r="B48" s="81" t="s">
        <v>1108</v>
      </c>
      <c r="C48" s="81" t="s">
        <v>1109</v>
      </c>
    </row>
    <row r="49" ht="15.75" customHeight="1">
      <c r="A49" s="81" t="s">
        <v>1110</v>
      </c>
      <c r="B49" s="81" t="s">
        <v>1111</v>
      </c>
      <c r="C49" s="81" t="s">
        <v>1112</v>
      </c>
    </row>
    <row r="50" ht="15.75" customHeight="1">
      <c r="A50" s="81" t="s">
        <v>1113</v>
      </c>
      <c r="B50" s="81" t="s">
        <v>1114</v>
      </c>
      <c r="C50" s="81" t="s">
        <v>955</v>
      </c>
    </row>
    <row r="51" ht="60.0" customHeight="1">
      <c r="A51" s="81" t="s">
        <v>1115</v>
      </c>
      <c r="B51" s="81" t="s">
        <v>1116</v>
      </c>
    </row>
    <row r="52" ht="15.75" customHeight="1"/>
    <row r="53" ht="30.0" customHeight="1">
      <c r="A53" s="86" t="s">
        <v>1118</v>
      </c>
    </row>
    <row r="54" ht="15.75" customHeight="1">
      <c r="A54" s="83" t="s">
        <v>470</v>
      </c>
      <c r="B54" s="83" t="s">
        <v>1102</v>
      </c>
      <c r="C54" s="83" t="s">
        <v>1104</v>
      </c>
    </row>
    <row r="55" ht="15.75" customHeight="1">
      <c r="A55" s="81" t="s">
        <v>379</v>
      </c>
      <c r="B55" s="81" t="s">
        <v>1120</v>
      </c>
      <c r="C55" s="81" t="s">
        <v>1121</v>
      </c>
    </row>
    <row r="56" ht="15.75" customHeight="1">
      <c r="A56" s="81" t="s">
        <v>1014</v>
      </c>
      <c r="B56" s="81" t="s">
        <v>1122</v>
      </c>
      <c r="C56" s="81" t="s">
        <v>1123</v>
      </c>
    </row>
    <row r="57" ht="15.75" customHeight="1">
      <c r="A57" s="81" t="s">
        <v>1110</v>
      </c>
      <c r="B57" s="81" t="s">
        <v>1124</v>
      </c>
      <c r="C57" s="81" t="s">
        <v>1125</v>
      </c>
    </row>
    <row r="58" ht="15.75" customHeight="1">
      <c r="A58" s="81" t="s">
        <v>1113</v>
      </c>
      <c r="B58" s="81" t="s">
        <v>1127</v>
      </c>
      <c r="C58" s="81" t="s">
        <v>1128</v>
      </c>
    </row>
    <row r="59" ht="60.0" customHeight="1">
      <c r="A59" s="81" t="s">
        <v>1115</v>
      </c>
      <c r="B59" s="81" t="s">
        <v>1130</v>
      </c>
    </row>
    <row r="60" ht="15.75" customHeight="1"/>
    <row r="61" ht="30.0" customHeight="1">
      <c r="A61" s="87" t="s">
        <v>1132</v>
      </c>
    </row>
    <row r="62" ht="79.5" customHeight="1">
      <c r="A62" s="81" t="s">
        <v>1133</v>
      </c>
    </row>
    <row r="63" ht="15.75" customHeight="1">
      <c r="A63" s="83" t="s">
        <v>470</v>
      </c>
      <c r="B63" s="83" t="s">
        <v>1102</v>
      </c>
      <c r="C63" s="83" t="s">
        <v>1104</v>
      </c>
    </row>
    <row r="64" ht="15.75" customHeight="1">
      <c r="A64" s="81" t="s">
        <v>884</v>
      </c>
      <c r="B64" s="81" t="s">
        <v>885</v>
      </c>
      <c r="C64" s="81" t="s">
        <v>1037</v>
      </c>
    </row>
    <row r="65" ht="15.75" customHeight="1">
      <c r="A65" s="81" t="s">
        <v>1039</v>
      </c>
      <c r="B65" s="81" t="s">
        <v>895</v>
      </c>
      <c r="C65" s="81" t="s">
        <v>1060</v>
      </c>
    </row>
    <row r="66" ht="15.75" customHeight="1">
      <c r="A66" s="81" t="s">
        <v>899</v>
      </c>
      <c r="B66" s="81" t="s">
        <v>900</v>
      </c>
      <c r="C66" s="81" t="s">
        <v>1138</v>
      </c>
    </row>
    <row r="67" ht="15.75" customHeight="1">
      <c r="A67" s="81" t="s">
        <v>1139</v>
      </c>
      <c r="B67" s="81" t="s">
        <v>1140</v>
      </c>
      <c r="C67" s="81" t="s">
        <v>1141</v>
      </c>
    </row>
    <row r="68" ht="69.75" customHeight="1">
      <c r="A68" s="81" t="s">
        <v>1115</v>
      </c>
      <c r="B68" s="81" t="s">
        <v>1143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customSheetViews>
    <customSheetView guid="{1DA5AD6E-2DF6-4ADE-B6DC-1245FBFAAD49}" filter="1" showAutoFilter="1">
      <autoFilter ref="$A$15:$B$18"/>
    </customSheetView>
    <customSheetView guid="{7266A841-F7B9-4175-95CB-6B2178817E7A}" filter="1" showAutoFilter="1">
      <autoFilter ref="$A$22:$B$26"/>
    </customSheetView>
    <customSheetView guid="{D61903E5-92A6-43C7-AECB-1CB925AD396C}" filter="1" showAutoFilter="1">
      <autoFilter ref="$A$30:$B$37"/>
    </customSheetView>
    <customSheetView guid="{2E4CC127-A856-472C-B3CD-789A05552639}" filter="1" showAutoFilter="1">
      <autoFilter ref="$A$5:$C$12"/>
    </customSheetView>
  </customSheetViews>
  <mergeCells count="16">
    <mergeCell ref="A1:L1"/>
    <mergeCell ref="A2:L2"/>
    <mergeCell ref="A4:L4"/>
    <mergeCell ref="A14:L14"/>
    <mergeCell ref="A21:L21"/>
    <mergeCell ref="A29:L29"/>
    <mergeCell ref="A40:L40"/>
    <mergeCell ref="B59:L59"/>
    <mergeCell ref="A61:L61"/>
    <mergeCell ref="A62:L62"/>
    <mergeCell ref="B68:L68"/>
    <mergeCell ref="A42:L42"/>
    <mergeCell ref="A43:L43"/>
    <mergeCell ref="A45:L45"/>
    <mergeCell ref="B51:L51"/>
    <mergeCell ref="A53:L53"/>
  </mergeCells>
  <printOptions/>
  <pageMargins bottom="0.4" footer="0.0" header="0.0" left="0.25" right="0.25" top="0.4"/>
  <pageSetup fitToHeight="0" orientation="landscape"/>
  <drawing r:id="rId1"/>
  <tableParts count="4">
    <tablePart r:id="rId6"/>
    <tablePart r:id="rId7"/>
    <tablePart r:id="rId8"/>
    <tablePart r:id="rId9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 fitToPage="1"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96.0"/>
    <col customWidth="1" min="3" max="3" width="68.0"/>
    <col customWidth="1" min="4" max="4" width="25.0"/>
    <col customWidth="1" min="5" max="5" width="28.0"/>
    <col customWidth="1" min="6" max="7" width="30.0"/>
    <col customWidth="1" min="8" max="12" width="24.0"/>
  </cols>
  <sheetData>
    <row r="1" ht="33.75" customHeight="1">
      <c r="A1" s="1" t="s">
        <v>1083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ht="24.0" customHeight="1">
      <c r="A3" s="6" t="s">
        <v>1085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27.75" customHeight="1">
      <c r="A4" s="10" t="s">
        <v>940</v>
      </c>
      <c r="B4" s="10" t="s">
        <v>1089</v>
      </c>
      <c r="C4" s="10" t="s">
        <v>1090</v>
      </c>
      <c r="D4" s="10" t="s">
        <v>1092</v>
      </c>
    </row>
    <row r="5" ht="24.75" customHeight="1">
      <c r="A5" s="11" t="s">
        <v>1093</v>
      </c>
      <c r="B5" s="11" t="s">
        <v>1094</v>
      </c>
      <c r="C5" s="11" t="s">
        <v>1096</v>
      </c>
      <c r="D5" s="11" t="s">
        <v>1097</v>
      </c>
    </row>
    <row r="6" ht="24.75" customHeight="1">
      <c r="A6" s="11" t="s">
        <v>1098</v>
      </c>
      <c r="B6" s="11" t="s">
        <v>1103</v>
      </c>
      <c r="C6" s="11" t="s">
        <v>1096</v>
      </c>
      <c r="D6" s="11" t="s">
        <v>1107</v>
      </c>
    </row>
    <row r="7" ht="24.75" customHeight="1">
      <c r="A7" s="11" t="s">
        <v>476</v>
      </c>
      <c r="B7" s="11" t="s">
        <v>1117</v>
      </c>
      <c r="C7" s="11" t="s">
        <v>1096</v>
      </c>
      <c r="D7" s="11" t="s">
        <v>1119</v>
      </c>
    </row>
    <row r="8" ht="24.75" customHeight="1">
      <c r="A8" s="11" t="s">
        <v>216</v>
      </c>
      <c r="B8" s="11" t="s">
        <v>1126</v>
      </c>
      <c r="C8" s="11" t="s">
        <v>1129</v>
      </c>
      <c r="D8" s="11" t="s">
        <v>1131</v>
      </c>
    </row>
    <row r="9" ht="24.75" customHeight="1">
      <c r="A9" s="11" t="s">
        <v>1134</v>
      </c>
      <c r="B9" s="11" t="s">
        <v>1135</v>
      </c>
      <c r="C9" s="11" t="s">
        <v>1136</v>
      </c>
      <c r="D9" s="11" t="s">
        <v>1137</v>
      </c>
    </row>
    <row r="10" ht="24.75" customHeight="1">
      <c r="A10" s="11" t="s">
        <v>1142</v>
      </c>
      <c r="B10" s="11" t="s">
        <v>1144</v>
      </c>
      <c r="C10" s="11" t="s">
        <v>1136</v>
      </c>
      <c r="D10" s="11" t="s">
        <v>1145</v>
      </c>
    </row>
    <row r="11" ht="24.75" customHeight="1">
      <c r="A11" s="11" t="s">
        <v>1146</v>
      </c>
      <c r="B11" s="11" t="s">
        <v>1147</v>
      </c>
      <c r="C11" s="11" t="s">
        <v>1148</v>
      </c>
      <c r="D11" s="11" t="s">
        <v>1149</v>
      </c>
    </row>
    <row r="12" ht="24.75" customHeight="1">
      <c r="A12" s="11" t="s">
        <v>1150</v>
      </c>
      <c r="B12" s="11" t="s">
        <v>1151</v>
      </c>
      <c r="C12" s="11" t="s">
        <v>1152</v>
      </c>
      <c r="D12" s="11" t="s">
        <v>1153</v>
      </c>
    </row>
    <row r="14" ht="24.0" customHeight="1">
      <c r="A14" s="6" t="s">
        <v>1154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27.75" customHeight="1">
      <c r="A15" s="10" t="s">
        <v>1155</v>
      </c>
      <c r="B15" s="10" t="s">
        <v>1156</v>
      </c>
      <c r="C15" s="10" t="s">
        <v>858</v>
      </c>
      <c r="D15" s="10" t="s">
        <v>863</v>
      </c>
    </row>
    <row r="16" ht="24.75" customHeight="1">
      <c r="A16" s="11" t="s">
        <v>1157</v>
      </c>
      <c r="B16" s="11" t="s">
        <v>1158</v>
      </c>
      <c r="C16" s="11" t="s">
        <v>1159</v>
      </c>
      <c r="D16" s="11" t="s">
        <v>1160</v>
      </c>
    </row>
    <row r="17" ht="37.5" customHeight="1">
      <c r="A17" s="11" t="s">
        <v>1161</v>
      </c>
      <c r="B17" s="11" t="s">
        <v>1162</v>
      </c>
      <c r="C17" s="11" t="s">
        <v>1163</v>
      </c>
      <c r="D17" s="11" t="s">
        <v>1164</v>
      </c>
    </row>
    <row r="18" ht="24.75" customHeight="1">
      <c r="A18" s="11" t="s">
        <v>284</v>
      </c>
      <c r="B18" s="11" t="s">
        <v>1165</v>
      </c>
      <c r="C18" s="11" t="s">
        <v>1166</v>
      </c>
      <c r="D18" s="11" t="s">
        <v>1167</v>
      </c>
    </row>
    <row r="19" ht="24.75" customHeight="1">
      <c r="A19" s="11" t="s">
        <v>432</v>
      </c>
      <c r="B19" s="11" t="s">
        <v>1168</v>
      </c>
      <c r="C19" s="11" t="s">
        <v>1169</v>
      </c>
      <c r="D19" s="11" t="s">
        <v>1170</v>
      </c>
    </row>
    <row r="20" ht="24.75" customHeight="1">
      <c r="A20" s="11" t="s">
        <v>1171</v>
      </c>
      <c r="B20" s="11" t="s">
        <v>1172</v>
      </c>
      <c r="C20" s="11" t="s">
        <v>1173</v>
      </c>
      <c r="D20" s="11" t="s">
        <v>1136</v>
      </c>
    </row>
    <row r="21" ht="15.75" customHeight="1"/>
    <row r="22" ht="15.75" customHeight="1"/>
    <row r="23" ht="24.0" customHeight="1">
      <c r="A23" s="6" t="s">
        <v>1174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ht="27.75" customHeight="1">
      <c r="A24" s="10" t="s">
        <v>1175</v>
      </c>
      <c r="B24" s="10" t="s">
        <v>1176</v>
      </c>
    </row>
    <row r="25" ht="51.75" customHeight="1">
      <c r="A25" s="11" t="s">
        <v>1177</v>
      </c>
      <c r="B25" s="11" t="s">
        <v>1178</v>
      </c>
    </row>
    <row r="26" ht="51.75" customHeight="1">
      <c r="A26" s="11" t="s">
        <v>1179</v>
      </c>
      <c r="B26" s="11" t="s">
        <v>1180</v>
      </c>
    </row>
    <row r="27" ht="37.5" customHeight="1">
      <c r="A27" s="11" t="s">
        <v>1181</v>
      </c>
      <c r="B27" s="11" t="s">
        <v>1182</v>
      </c>
    </row>
    <row r="28" ht="37.5" customHeight="1">
      <c r="A28" s="11" t="s">
        <v>1183</v>
      </c>
      <c r="B28" s="11" t="s">
        <v>1184</v>
      </c>
    </row>
    <row r="29" ht="37.5" customHeight="1">
      <c r="A29" s="11" t="s">
        <v>1185</v>
      </c>
      <c r="B29" s="11" t="s">
        <v>1186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ustomSheetViews>
    <customSheetView guid="{21FF5159-9939-4D0B-A96B-46C8497598AB}" filter="1" showAutoFilter="1">
      <autoFilter ref="$A$24:$B$29"/>
    </customSheetView>
    <customSheetView guid="{5EB543B0-7500-4A35-8AD5-74EE55E463B4}" filter="1" showAutoFilter="1">
      <autoFilter ref="$A$15:$D$20"/>
    </customSheetView>
    <customSheetView guid="{725AA48F-2C25-46EA-9C14-266B493F02E8}" filter="1" showAutoFilter="1">
      <autoFilter ref="$A$4:$D$12"/>
    </customSheetView>
  </customSheetViews>
  <mergeCells count="4">
    <mergeCell ref="A1:L1"/>
    <mergeCell ref="A3:L3"/>
    <mergeCell ref="A14:L14"/>
    <mergeCell ref="A23:L23"/>
  </mergeCells>
  <printOptions/>
  <pageMargins bottom="0.4" footer="0.0" header="0.0" left="0.25" right="0.25" top="0.4"/>
  <pageSetup fitToHeight="0" orientation="landscape"/>
  <drawing r:id="rId1"/>
  <tableParts count="3">
    <tablePart r:id="rId5"/>
    <tablePart r:id="rId6"/>
    <tablePart r:id="rId7"/>
  </tableParts>
</worksheet>
</file>