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_ME" sheetId="1" r:id="rId5"/>
    <sheet state="visible" name="01_CLIENT_FILE" sheetId="2" r:id="rId6"/>
    <sheet state="visible" name="02_WEALTH_CONTEXT" sheetId="3" r:id="rId7"/>
    <sheet state="visible" name="03_THREE_GOALS" sheetId="4" r:id="rId8"/>
    <sheet state="visible" name="04_PORTFOLIO" sheetId="5" r:id="rId9"/>
    <sheet state="visible" name="05_VALIDATION" sheetId="6" r:id="rId10"/>
    <sheet state="visible" name="06_CONSTRUCTION" sheetId="7" r:id="rId11"/>
    <sheet state="visible" name="07_PERFORMANCE_RISK" sheetId="8" r:id="rId12"/>
    <sheet state="visible" name="08_RED_FLAGS" sheetId="9" r:id="rId13"/>
    <sheet state="visible" name="09_MARKET_DATA" sheetId="10" r:id="rId14"/>
    <sheet state="visible" name="10_GOAL_BENCHMARK" sheetId="11" r:id="rId15"/>
    <sheet state="visible" name="10A_RECOMMENDATION" sheetId="12" r:id="rId16"/>
    <sheet state="visible" name="11_CLIENT_MEETING" sheetId="13" r:id="rId17"/>
    <sheet state="visible" name="12_MONITORING" sheetId="14" r:id="rId18"/>
  </sheets>
  <definedNames>
    <definedName hidden="1" localSheetId="4" name="Z_A1B5CE53_B1C5_43A2_B207_CA836418F648_.wvu.FilterData">'04_PORTFOLIO'!$A$6:$L$27</definedName>
    <definedName hidden="1" localSheetId="0" name="Z_789FB43E_263A_4F49_85BA_852C2E08EE92_.wvu.FilterData">'00_READ_ME'!$A$11:$C$23</definedName>
    <definedName hidden="1" localSheetId="12" name="Z_642F4598_7499_4836_91F9_5A768928B2D2_.wvu.FilterData">'11_CLIENT_MEETING'!$A$5:$C$12</definedName>
    <definedName hidden="1" localSheetId="1" name="Z_EED11388_06FA_463E_8D16_8EDE982F008E_.wvu.FilterData">'01_CLIENT_FILE'!$A$15:$B$20</definedName>
    <definedName hidden="1" localSheetId="3" name="Z_77893470_7C65_4711_9D4D_39BF41F40A64_.wvu.FilterData">'03_THREE_GOALS'!$A$6:$B$14</definedName>
    <definedName hidden="1" localSheetId="5" name="Z_B1BECB37_E60E_4326_9A49_C0E1430FC99F_.wvu.FilterData">'05_VALIDATION'!$A$16:$B$21</definedName>
    <definedName hidden="1" localSheetId="13" name="Z_F9A2FBFA_48AD_4D86_BBFC_0092B78E3D75_.wvu.FilterData">'12_MONITORING'!$A$25:$B$30</definedName>
    <definedName hidden="1" localSheetId="5" name="Z_602B49F2_8012_4754_BBCB_2BD47E1D59B1_.wvu.FilterData">'05_VALIDATION'!$A$6:$G$13</definedName>
    <definedName hidden="1" localSheetId="3" name="Z_E5EEA0BD_0B26_4451_9726_61DB2FC690C2_.wvu.FilterData">'03_THREE_GOALS'!$A$17:$B$25</definedName>
    <definedName hidden="1" localSheetId="7" name="Z_B7A35D16_2405_46CA_BF41_0CA879544694_.wvu.FilterData">'07_PERFORMANCE_RISK'!$A$44:$B$49</definedName>
    <definedName hidden="1" localSheetId="8" name="Z_A8B71256_0749_4952_8359_FD1023AA9D05_.wvu.FilterData">'08_RED_FLAGS'!$A$16:$B$22</definedName>
    <definedName hidden="1" localSheetId="12" name="Z_79EA0593_1802_4D61_8583_9AFDF5B983E8_.wvu.FilterData">'11_CLIENT_MEETING'!$A$22:$B$26</definedName>
    <definedName hidden="1" localSheetId="5" name="Z_DC5EA9C7_0F31_4780_B805_315C7A91A356_.wvu.FilterData">'05_VALIDATION'!$A$24:$C$30</definedName>
    <definedName hidden="1" localSheetId="8" name="Z_FD0D09BF_017E_402C_9AC5_F2AF67C6B135_.wvu.FilterData">'08_RED_FLAGS'!$A$6:$H$12</definedName>
    <definedName hidden="1" localSheetId="13" name="Z_CB00096A_73C9_4C5E_8D4C_362CFF4FF4F2_.wvu.FilterData">'12_MONITORING'!$A$5:$D$13</definedName>
    <definedName hidden="1" localSheetId="13" name="Z_F516F472_01A9_44F7_A6A5_BFED63BCF154_.wvu.FilterData">'12_MONITORING'!$A$16:$D$21</definedName>
    <definedName hidden="1" localSheetId="6" name="Z_3932EEDB_716F_44B0_94E3_FD0DCA80A505_.wvu.FilterData">'06_CONSTRUCTION'!$A$6:$D$11</definedName>
    <definedName hidden="1" localSheetId="2" name="Z_3A98AC79_1933_47B1_BD3A_DB26AD7443A6_.wvu.FilterData">'02_WEALTH_CONTEXT'!$A$18:$B$22</definedName>
    <definedName hidden="1" localSheetId="1" name="Z_0BE951D1_A425_49D1_B500_6C8C30B56588_.wvu.FilterData">'01_CLIENT_FILE'!$A$23:$C$28</definedName>
    <definedName hidden="1" localSheetId="7" name="Z_36578511_04FD_4854_9A1F_49D23056DD9F_.wvu.FilterData">'07_PERFORMANCE_RISK'!$A$36:$E$40</definedName>
    <definedName hidden="1" localSheetId="1" name="Z_BFE80DFB_4A79_4E92_A37E_E54DC636B208_.wvu.FilterData">'01_CLIENT_FILE'!$A$6:$B$12</definedName>
    <definedName hidden="1" localSheetId="2" name="Z_637090D6_88C8_462D_BDD9_645AC171862C_.wvu.FilterData">'02_WEALTH_CONTEXT'!$A$6:$C$14</definedName>
    <definedName hidden="1" localSheetId="3" name="Z_17ADB58E_FFB6_4CFD_9156_9B9B3525D0FA_.wvu.FilterData">'03_THREE_GOALS'!$A$39:$D$44</definedName>
    <definedName hidden="1" localSheetId="4" name="Z_D8CC4786_5EC6_4703_B586_74D8A68F42B8_.wvu.FilterData">'04_PORTFOLIO'!$A$31:$B$36</definedName>
    <definedName hidden="1" localSheetId="7" name="Z_1E284D25_E5DE_47B2_98A1_4312E4E80635_.wvu.FilterData">'07_PERFORMANCE_RISK'!$A$5:$G$26</definedName>
    <definedName hidden="1" localSheetId="12" name="Z_35035A59_8007_4187_A07A_F292388F2846_.wvu.FilterData">'11_CLIENT_MEETING'!$A$30:$B$37</definedName>
    <definedName hidden="1" localSheetId="3" name="Z_3BBCABC4_D32D_4708_93DC_2B4006F9C54B_.wvu.FilterData">'03_THREE_GOALS'!$A$28:$B$36</definedName>
    <definedName hidden="1" localSheetId="2" name="Z_040DDED2_1286_41D5_86EE_5A6651E1B9F3_.wvu.FilterData">'02_WEALTH_CONTEXT'!$A$25:$C$31</definedName>
    <definedName hidden="1" localSheetId="8" name="Z_34705951_2CF6_4FC1_B632_087EF03E5A91_.wvu.FilterData">'08_RED_FLAGS'!$A$25:$B$28</definedName>
    <definedName hidden="1" localSheetId="12" name="Z_6C8C0329_08C0_4956_A938_7EB8BBD93C39_.wvu.FilterData">'11_CLIENT_MEETING'!$A$15:$B$18</definedName>
  </definedNames>
  <calcPr/>
  <customWorkbookViews>
    <customWorkbookView activeSheetId="0" maximized="1" windowHeight="0" windowWidth="0" guid="{A1B5CE53-B1C5-43A2-B207-CA836418F648}" name="Holdings filter view"/>
    <customWorkbookView activeSheetId="0" maximized="1" windowHeight="0" windowWidth="0" guid="{789FB43E-263A-4F49-85BA-852C2E08EE92}" name="StoryMap filter view"/>
    <customWorkbookView activeSheetId="0" maximized="1" windowHeight="0" windowWidth="0" guid="{642F4598-7499-4836-91F9-5A768928B2D2}" name="MeetingFlow filter view"/>
    <customWorkbookView activeSheetId="0" maximized="1" windowHeight="0" windowWidth="0" guid="{EED11388-06FA-463E-8D16-8EDE982F008E}" name="InboundBrief filter view"/>
    <customWorkbookView activeSheetId="0" maximized="1" windowHeight="0" windowWidth="0" guid="{77893470-7C65-4711-9D4D-39BF41F40A64}" name="Goal1 filter view"/>
    <customWorkbookView activeSheetId="0" maximized="1" windowHeight="0" windowWidth="0" guid="{B1BECB37-E60E-4326-9A49-C0E1430FC99F}" name="ValidationStory filter view"/>
    <customWorkbookView activeSheetId="0" maximized="1" windowHeight="0" windowWidth="0" guid="{F9A2FBFA-48AD-4D86-BBFC-0092B78E3D75}" name="MonitoringEvents filter view"/>
    <customWorkbookView activeSheetId="0" maximized="1" windowHeight="0" windowWidth="0" guid="{602B49F2-8012-4754-BBCB-2BD47E1D59B1}" name="ValidationLog filter view"/>
    <customWorkbookView activeSheetId="0" maximized="1" windowHeight="0" windowWidth="0" guid="{E5EEA0BD-0B26-4451-9726-61DB2FC690C2}" name="Goal2 filter view"/>
    <customWorkbookView activeSheetId="0" maximized="1" windowHeight="0" windowWidth="0" guid="{B7A35D16-2405-46CA-BF41-0CA879544694}" name="RiskInsights filter view"/>
    <customWorkbookView activeSheetId="0" maximized="1" windowHeight="0" windowWidth="0" guid="{A8B71256-0749-4952-8359-FD1023AA9D05}" name="RedFlagMethod filter view"/>
    <customWorkbookView activeSheetId="0" maximized="1" windowHeight="0" windowWidth="0" guid="{79EA0593-1802-4D61-8583-9AFDF5B983E8}" name="Objections filter view"/>
    <customWorkbookView activeSheetId="0" maximized="1" windowHeight="0" windowWidth="0" guid="{DC5EA9C7-0F31-4780-B805-315C7A91A356}" name="ValidationRequests filter view"/>
    <customWorkbookView activeSheetId="0" maximized="1" windowHeight="0" windowWidth="0" guid="{FD0D09BF-017E-402C-9AC5-F2AF67C6B135}" name="RedFlags filter view"/>
    <customWorkbookView activeSheetId="0" maximized="1" windowHeight="0" windowWidth="0" guid="{CB00096A-73C9-4C5E-8D4C-362CFF4FF4F2}" name="Monitoring filter view"/>
    <customWorkbookView activeSheetId="0" maximized="1" windowHeight="0" windowWidth="0" guid="{F516F472-01A9-44F7-A6A5-BFED63BCF154}" name="MonthlyReview filter view"/>
    <customWorkbookView activeSheetId="0" maximized="1" windowHeight="0" windowWidth="0" guid="{3932EEDB-716F-44B0-94E3-FD0DCA80A505}" name="AssetAllocation filter view"/>
    <customWorkbookView activeSheetId="0" maximized="1" windowHeight="0" windowWidth="0" guid="{3A98AC79-1933-47B1-BD3A-DB26AD7443A6}" name="WealthInsights filter view"/>
    <customWorkbookView activeSheetId="0" maximized="1" windowHeight="0" windowWidth="0" guid="{0BE951D1-A425-49D1-B500-6C8C30B56588}" name="IntakeChecklist filter view"/>
    <customWorkbookView activeSheetId="0" maximized="1" windowHeight="0" windowWidth="0" guid="{36578511-04FD-4854-9A1F-49D23056DD9F}" name="StressTests filter view"/>
    <customWorkbookView activeSheetId="0" maximized="1" windowHeight="0" windowWidth="0" guid="{BFE80DFB-4A79-4E92-A37E-E54DC636B208}" name="ClientSnapshot filter view"/>
    <customWorkbookView activeSheetId="0" maximized="1" windowHeight="0" windowWidth="0" guid="{637090D6-88C8-462D-BDD9-645AC171862C}" name="WealthContext filter view"/>
    <customWorkbookView activeSheetId="0" maximized="1" windowHeight="0" windowWidth="0" guid="{17ADB58E-FFB6-4CFD-9156-9B9B3525D0FA}" name="GoalCompare filter view"/>
    <customWorkbookView activeSheetId="0" maximized="1" windowHeight="0" windowWidth="0" guid="{D8CC4786-5EC6-4703-B586-74D8A68F42B8}" name="InventoryRead filter view"/>
    <customWorkbookView activeSheetId="0" maximized="1" windowHeight="0" windowWidth="0" guid="{1E284D25-E5DE-47B2-98A1-4312E4E80635}" name="PerfContrib filter view"/>
    <customWorkbookView activeSheetId="0" maximized="1" windowHeight="0" windowWidth="0" guid="{35035A59-8007-4187-A07A-F292388F2846}" name="Conversion filter view"/>
    <customWorkbookView activeSheetId="0" maximized="1" windowHeight="0" windowWidth="0" guid="{3BBCABC4-D32D-4708-93DC-2B4006F9C54B}" name="Goal3 filter view"/>
    <customWorkbookView activeSheetId="0" maximized="1" windowHeight="0" windowWidth="0" guid="{040DDED2-1286-41D5-86EE-5A6651E1B9F3}" name="DataRequests filter view"/>
    <customWorkbookView activeSheetId="0" maximized="1" windowHeight="0" windowWidth="0" guid="{34705951-2CF6-4FC1-B632-087EF03E5A91}" name="TopFlags filter view"/>
    <customWorkbookView activeSheetId="0" maximized="1" windowHeight="0" windowWidth="0" guid="{6C8C0329-08C0-4956-A938-7EB8BBD93C39}" name="ClientScripts filter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Synthetic training inputs. Replace with approved client/market data for any real advisory use.</t>
      </text>
    </comment>
  </commentList>
</comments>
</file>

<file path=xl/sharedStrings.xml><?xml version="1.0" encoding="utf-8"?>
<sst xmlns="http://schemas.openxmlformats.org/spreadsheetml/2006/main" count="1863" uniqueCount="1197">
  <si>
    <t>STEP 1  |  CLIENT FILE &amp; INTAKE</t>
  </si>
  <si>
    <t>Start with the person, not the securities. The first question is what the client expects this meeting to accomplish.</t>
  </si>
  <si>
    <t>Portfolio label inspired by a publicly shared portfolio; all values in this workbook are synthetic and created for this case.</t>
  </si>
  <si>
    <t>CLIENT SNAPSHOT</t>
  </si>
  <si>
    <t>Field</t>
  </si>
  <si>
    <t>Working value</t>
  </si>
  <si>
    <t>Client / case name</t>
  </si>
  <si>
    <t>Akshat Srivastava – public portfolio case</t>
  </si>
  <si>
    <t>Meeting type</t>
  </si>
  <si>
    <t>Inbound HNI portfolio review</t>
  </si>
  <si>
    <t>Investible assets in scope</t>
  </si>
  <si>
    <t>₹3.57 crore</t>
  </si>
  <si>
    <t>Valuation / case date</t>
  </si>
  <si>
    <t>30-Jun-2025</t>
  </si>
  <si>
    <t>Portfolio source</t>
  </si>
  <si>
    <t>Public source: Akshat Shrivastava's 27-Apr-2025 YouTube video on his $1M public US-stock portfolio; portfolio numbers here are a synthetic reconstruction for training.</t>
  </si>
  <si>
    <t>Advisor objective</t>
  </si>
  <si>
    <t>Diagnose the existing portfolio, connect it to client goals, explain the gaps simply, and translate the findings into an actionable Dezerv-style advisory conversation.</t>
  </si>
  <si>
    <t>INBOUND CLIENT BRIEF</t>
  </si>
  <si>
    <t>Question</t>
  </si>
  <si>
    <t>Working answer / analysis</t>
  </si>
  <si>
    <t>Why they came to us</t>
  </si>
  <si>
    <t>Wants an independent view of whether the current portfolio is sufficiently diversified and whether it is doing the right job for long-term wealth.</t>
  </si>
  <si>
    <t>What we know</t>
  </si>
  <si>
    <t>Portfolio contains Indian equities, US equities/ETFs, commodities, crypto, debt and cash-like assets.</t>
  </si>
  <si>
    <t>What we do NOT know from the public source</t>
  </si>
  <si>
    <t>Exact private liabilities, complete household balance sheet, tax position, emergency reserve, complete cash-flow schedule and a verified suitability mandate. These are therefore established as synthetic case inputs.</t>
  </si>
  <si>
    <t>Immediate implication</t>
  </si>
  <si>
    <t>Do not call the portfolio “good” or “bad” yet. We can diagnose the portfolio, but suitability depends on the missing client context.</t>
  </si>
  <si>
    <t>Next action</t>
  </si>
  <si>
    <t>Move to the wealth-context sheet and establish the size, liquidity and decision constraints before interpreting portfolio risk.</t>
  </si>
  <si>
    <t>THE ANALYST'S MENTAL CHECKLIST</t>
  </si>
  <si>
    <t>Order</t>
  </si>
  <si>
    <t>Answer</t>
  </si>
  <si>
    <t>1</t>
  </si>
  <si>
    <t>What did the client give us?</t>
  </si>
  <si>
    <t>A portfolio snapshot.</t>
  </si>
  <si>
    <t>2</t>
  </si>
  <si>
    <t>What does the client want?</t>
  </si>
  <si>
    <t>Not yet established — must be elicited.</t>
  </si>
  <si>
    <t>3</t>
  </si>
  <si>
    <t>What can we safely say now?</t>
  </si>
  <si>
    <t>We can describe composition and observable concentration.</t>
  </si>
  <si>
    <t>4</t>
  </si>
  <si>
    <t>What cannot we safely say?</t>
  </si>
  <si>
    <t>That any allocation is suitable for the client.</t>
  </si>
  <si>
    <t>5</t>
  </si>
  <si>
    <t>What comes next?</t>
  </si>
  <si>
    <t>Establish wealth context, goals and constraints.</t>
  </si>
  <si>
    <t>WHY THIS SHEET CHANGES THE NEXT ONE</t>
  </si>
  <si>
    <t>The portfolio source is public, but the advisory suitability problem is not. The public video gives us a realistic starting point; client context, exact portfolio value and missing suitability facts are deliberately modelled as synthetic case data.</t>
  </si>
  <si>
    <t>STEP 0  |  CASE MAP &amp; DATA DISCLOSURE</t>
  </si>
  <si>
    <t>How to use this workbook: follow the client story from intake → portfolio → goals → validation → diagnosis → recommendation → conversation.</t>
  </si>
  <si>
    <t>CASE DATE CONTROL: Portfolio valuation date = 30 June 2025. Portfolio figures are synthetic case inputs; all external market benchmark data is real and date-stamped.</t>
  </si>
  <si>
    <t>1. WHAT THIS PROJECT IS TRYING TO PROVE</t>
  </si>
  <si>
    <t>The skill being demonstrated</t>
  </si>
  <si>
    <t>understand the client's context , validate information, identify material risks, connect those risks to goals, benchmark the portfolio, and turn the findings into a client-ready recommendation.</t>
  </si>
  <si>
    <t>Role alignment</t>
  </si>
  <si>
    <t>Dezerv Management Trainee – Client Financial Partner JD: client portfolio review, financial-information validation, asset allocation / financial needs, explaining investment methodology simply, and moving the client toward a suitable solution and follow-up.</t>
  </si>
  <si>
    <t>Working rule</t>
  </si>
  <si>
    <t>Every sheet answers four questions: WHAT did we learn? SO WHAT does it mean? WHY does it matter to the client? WHAT happens next?</t>
  </si>
  <si>
    <t xml:space="preserve">                        2. THE STORYLINE</t>
  </si>
  <si>
    <t>STEP 3  |  THREE CLIENT GOALS</t>
  </si>
  <si>
    <t>Step</t>
  </si>
  <si>
    <t>Sheet</t>
  </si>
  <si>
    <t>Question it answers</t>
  </si>
  <si>
    <t>Instead of inventing one goal for a public figure, test the same ₹3.57 crore portfolio against three HNI mandates.</t>
  </si>
  <si>
    <t>01</t>
  </si>
  <si>
    <t>These are illustrative goal archetypes for an HNI advisory conversation—not claims about Akshat Srivastava's personal financial goals.</t>
  </si>
  <si>
    <t>Client file</t>
  </si>
  <si>
    <t>Who is this person and what are we being asked to solve?</t>
  </si>
  <si>
    <t>GOAL 1 — LONG-TERM WEALTH COMPOUNDING</t>
  </si>
  <si>
    <t>02</t>
  </si>
  <si>
    <t>Wealth context</t>
  </si>
  <si>
    <t>How large is the investible pool and what constraints might matter?</t>
  </si>
  <si>
    <t>03</t>
  </si>
  <si>
    <t>Three goals</t>
  </si>
  <si>
    <t>Dimension</t>
  </si>
  <si>
    <t>How does the analysis change if the client is a wealth creator, pre-retiree, or capital-preservation client?</t>
  </si>
  <si>
    <t>04</t>
  </si>
  <si>
    <t>Portfolio inventory</t>
  </si>
  <si>
    <t>What exactly does the client own?</t>
  </si>
  <si>
    <t>Analysis / required action</t>
  </si>
  <si>
    <t>05</t>
  </si>
  <si>
    <t>Validation</t>
  </si>
  <si>
    <t>Goal</t>
  </si>
  <si>
    <t>Can we trust the inputs before making a recommendation?</t>
  </si>
  <si>
    <t>06</t>
  </si>
  <si>
    <t>Portfolio construction</t>
  </si>
  <si>
    <t>What is the portfolio actually made of after grouping it properly?</t>
  </si>
  <si>
    <t>STEP 2  |  WEALTH CONTEXT</t>
  </si>
  <si>
    <t>07</t>
  </si>
  <si>
    <t>Performance &amp; risk</t>
  </si>
  <si>
    <t>What did it earn, and what risks were taken to earn it?</t>
  </si>
  <si>
    <t>08</t>
  </si>
  <si>
    <t>Red flags</t>
  </si>
  <si>
    <t>Where are the highest-impact mismatches and how did we find them?</t>
  </si>
  <si>
    <t>Grow ₹3.57 crore into a materially larger real-wealth corpus over 10–15 years.</t>
  </si>
  <si>
    <t>09</t>
  </si>
  <si>
    <t>Turn “₹3 crore portfolio” into a financial situation. A portfolio cannot be judged intelligently without knowing what the money needs to do.</t>
  </si>
  <si>
    <t>Benchmarking</t>
  </si>
  <si>
    <t>Time horizon</t>
  </si>
  <si>
    <t>How does the portfolio compare with appropriate reference points?</t>
  </si>
  <si>
    <t>All client facts below are synthetic assumptions created for the case. In a real meeting, these would be confirmed from the client and supporting documents.</t>
  </si>
  <si>
    <t>10–15 years</t>
  </si>
  <si>
    <t>10</t>
  </si>
  <si>
    <t>Liquidity need</t>
  </si>
  <si>
    <t>Recommendation</t>
  </si>
  <si>
    <t>Low in first 5 years; emergency reserve held separately</t>
  </si>
  <si>
    <t>What would we keep, reduce, exit, replace or add—and why?</t>
  </si>
  <si>
    <t>Risk posture</t>
  </si>
  <si>
    <t>11</t>
  </si>
  <si>
    <t>Client conversation</t>
  </si>
  <si>
    <t>High capacity; moderate-to-high tolerance</t>
  </si>
  <si>
    <t>ILLUSTRATIVE FINANCIAL SITUATION</t>
  </si>
  <si>
    <t>How do we explain the findings without sounding like a spreadsheet?</t>
  </si>
  <si>
    <t>Primary job of portfolio</t>
  </si>
  <si>
    <t>12</t>
  </si>
  <si>
    <t>Maximise long-term compounding without taking avoidable concentration risk</t>
  </si>
  <si>
    <t>Follow-up &amp; monitoring</t>
  </si>
  <si>
    <t>What needs to happen</t>
  </si>
  <si>
    <t>How does the relationship continue after the meeting?</t>
  </si>
  <si>
    <t>Maintain meaningful growth exposure, diversify sources of return, cap single-theme risk, and keep enough stabilising assets to fund opportunistic rebalancing.</t>
  </si>
  <si>
    <t>Factor</t>
  </si>
  <si>
    <t>PUBLIC-SOURCE DISCLOSURE — AKSHAT SRIVASTAVA CASE</t>
  </si>
  <si>
    <t>Portfolio implication</t>
  </si>
  <si>
    <t>The current portfolio can tolerate equity risk, but its semiconductor/US growth/crypto cluster needs to be treated as one risk bucket rather than many separate holdings.</t>
  </si>
  <si>
    <t>Working assumption</t>
  </si>
  <si>
    <t>Public source used</t>
  </si>
  <si>
    <t>Akshat Shrivastava — “Your portfolio can beat 99% Fund Managers | Copy these 5 Strategies”</t>
  </si>
  <si>
    <t>Next analytical step</t>
  </si>
  <si>
    <t>YouTube link</t>
  </si>
  <si>
    <t>https://www.youtube.com/watch?v=rEC15tWo_oU</t>
  </si>
  <si>
    <t>Why it matters</t>
  </si>
  <si>
    <t>Exposure mapping and risk concentration become especially important.</t>
  </si>
  <si>
    <t>GOAL 2 — RETIREMENT / FINANCIAL INDEPENDENCE</t>
  </si>
  <si>
    <t>Age</t>
  </si>
  <si>
    <t>46</t>
  </si>
  <si>
    <t>Synthetic case assumption</t>
  </si>
  <si>
    <t>What is source-derived</t>
  </si>
  <si>
    <t>The public portfolio challenge, stated intent to build  public US-stock portfolio, publicly audit it, and investment-process observations used to frame this case.</t>
  </si>
  <si>
    <t>What is synthetic</t>
  </si>
  <si>
    <t>The ₹3.57 crore case value, quantities, prices and missing holding-level inputs are synthetic. Client age, income, liabilities, family circumstances, goals and suitability facts are also synthetic case assumptions.</t>
  </si>
  <si>
    <t>Occupation / income</t>
  </si>
  <si>
    <t>Convert a ₹3.57 crore corpus into a retirement-ready portfolio with lower dependence on selling risk assets during a downturn.</t>
  </si>
  <si>
    <t>Business owner; ₹55 lakh annual household income</t>
  </si>
  <si>
    <t>7–10 years to major withdrawals</t>
  </si>
  <si>
    <t>Medium; withdrawals begin in the goal window</t>
  </si>
  <si>
    <t>Total investible financial assets</t>
  </si>
  <si>
    <t>Moderate</t>
  </si>
  <si>
    <t>Scope of this case</t>
  </si>
  <si>
    <t>Grow the corpus while progressively protecting near-term spending buckets</t>
  </si>
  <si>
    <t>Other major wealth</t>
  </si>
  <si>
    <t>₹2.20 crore business interest + ₹1.10 crore residential property</t>
  </si>
  <si>
    <t>Create a liability-matching / bucket structure, reduce avoidable concentration, and establish a rising allocation to high-quality liquid assets as the retirement date approaches.</t>
  </si>
  <si>
    <t>Not analysed in portfolio return calculations</t>
  </si>
  <si>
    <t>Liabilities</t>
  </si>
  <si>
    <t>The current crypto + semiconductor + small-cap exposure would be more difficult to justify at the same size if withdrawals were imminent.</t>
  </si>
  <si>
    <t>₹34.60 lakh home loan outstanding</t>
  </si>
  <si>
    <t>Scenario analysis and drawdown impact become more important than headline CAGR.</t>
  </si>
  <si>
    <t>GOAL 3 — CAPITAL PRESERVATION + LARGE FUTURE OUTLAY</t>
  </si>
  <si>
    <t>Near-term liquidity reserve outside portfolio</t>
  </si>
  <si>
    <t>₹8 lakh</t>
  </si>
  <si>
    <t>Needs verification</t>
  </si>
  <si>
    <t>Expected large cash need</t>
  </si>
  <si>
    <t>₹35.40 lakh within 3–4 years</t>
  </si>
  <si>
    <t>Protect a ₹35 lakh near-term obligation while preserving the rest of the corpus for long-term growth.</t>
  </si>
  <si>
    <t>Investment horizon</t>
  </si>
  <si>
    <t>10+ years for core wealth</t>
  </si>
  <si>
    <t>3–4 years for the earmarked goal; 10+ years for residual wealth</t>
  </si>
  <si>
    <t>High for the goal bucket</t>
  </si>
  <si>
    <t>WHAT CHANGED AFTER PUTTING THE PORTFOLIO INTO CONTEXT?</t>
  </si>
  <si>
    <t>Moderate / segmented</t>
  </si>
  <si>
    <t>Observation</t>
  </si>
  <si>
    <t>Analysis / consequence</t>
  </si>
  <si>
    <t>Separate money that must be available from money that can take market risk.</t>
  </si>
  <si>
    <t>The ₹3 crore is not the client's entire wealth</t>
  </si>
  <si>
    <t>Ring-fence the ₹35 lakh requirement using liquid / high-quality fixed-income assets; keep long-horizon capital invested for growth.</t>
  </si>
  <si>
    <t>The client has a meaningful business and property exposure. That raises a new question: is the investment portfolio being used to diversify the risks already embedded in the client's human capital and business?</t>
  </si>
  <si>
    <t>The ₹35 lakh near-term need matters</t>
  </si>
  <si>
    <t>The question is not whether the whole ₹3.57 crore should become conservative. It is whether the near-term liability is protected from equity/crypto drawdowns.</t>
  </si>
  <si>
    <t>A volatile portfolio can still be appropriate for long-term wealth, but money earmarked for a 3–4 year obligation should not be treated as permanently risk capital.</t>
  </si>
  <si>
    <t>The business creates hidden concentration</t>
  </si>
  <si>
    <t>Liquidity and downside stress tests should drive the recommendation.</t>
  </si>
  <si>
    <t>If the client's business is India-focused, cyclical or linked to a particular sector, adding more of the same economic exposure inside the portfolio can create concentration that the holdings table alone will miss.</t>
  </si>
  <si>
    <t>GOAL COMPARISON — SAME PORTFOLIO, DIFFERENT ANSWER</t>
  </si>
  <si>
    <t>Risk capacity is not the same as risk tolerance</t>
  </si>
  <si>
    <t>The client may be financially capable of taking equity risk while still being uncomfortable with a large drawdown. We need the goals sheet to test different client mandates.</t>
  </si>
  <si>
    <t>DATA REQUESTS BEFORE A REAL RECOMMENDATION</t>
  </si>
  <si>
    <t>STEP 4  |  PORTFOLIO INVENTORY</t>
  </si>
  <si>
    <t>Decision lens</t>
  </si>
  <si>
    <t>Goal 1</t>
  </si>
  <si>
    <t>Information</t>
  </si>
  <si>
    <t>Goal 2</t>
  </si>
  <si>
    <t>Now we stop talking about a portfolio in the abstract. Every holding gets an identity, a bucket and a working value.</t>
  </si>
  <si>
    <t>What to collect</t>
  </si>
  <si>
    <t>Goal 3</t>
  </si>
  <si>
    <t>Why it changes advice</t>
  </si>
  <si>
    <t>Synthetic case portfolio: ₹3.57 crore. Security names are inspired by the public-portfolio concept; quantities, prices and values are fictional case inputs. Benchmarking valuation date: 30-Jun-2025.</t>
  </si>
  <si>
    <t>Income / cash flow</t>
  </si>
  <si>
    <t>Last 12 months income and major expected changes</t>
  </si>
  <si>
    <t>Determines sustainable investment capacity</t>
  </si>
  <si>
    <t>HOLDING-LEVEL WORKING FILE</t>
  </si>
  <si>
    <t>Primary concern</t>
  </si>
  <si>
    <t>Compounding efficiency</t>
  </si>
  <si>
    <t>Loan schedule and interest burden</t>
  </si>
  <si>
    <t>Sequence-of-returns risk</t>
  </si>
  <si>
    <t>Ticker / Asset</t>
  </si>
  <si>
    <t>Determines liquidity and debt-service pressure</t>
  </si>
  <si>
    <t>Capital protection for known need</t>
  </si>
  <si>
    <t>Business exposure</t>
  </si>
  <si>
    <t>Instrument</t>
  </si>
  <si>
    <t>Nature of business, sector and revenue concentration</t>
  </si>
  <si>
    <t>Most important risk metric</t>
  </si>
  <si>
    <t>Asset Class</t>
  </si>
  <si>
    <t>Determines hidden economic concentration</t>
  </si>
  <si>
    <t>Concentration / diversification</t>
  </si>
  <si>
    <t>Economic Exposure</t>
  </si>
  <si>
    <t>Tax position</t>
  </si>
  <si>
    <t>Geography</t>
  </si>
  <si>
    <t>Drawdown + liquidity</t>
  </si>
  <si>
    <t>Cost basis, holding period, tax slabs</t>
  </si>
  <si>
    <t>Value (₹L)</t>
  </si>
  <si>
    <t>Liquidity coverage</t>
  </si>
  <si>
    <t>Determines practical cost of rebalancing</t>
  </si>
  <si>
    <t>Weight</t>
  </si>
  <si>
    <t>Family goals</t>
  </si>
  <si>
    <t>Education, retirement, inheritance, philanthropy</t>
  </si>
  <si>
    <t>12M Return</t>
  </si>
  <si>
    <t>Likely action</t>
  </si>
  <si>
    <t>Determines time buckets and target corpus</t>
  </si>
  <si>
    <t>3Y CAGR</t>
  </si>
  <si>
    <t>Trim concentrated themes; retain growth</t>
  </si>
  <si>
    <t>Emergency reserve</t>
  </si>
  <si>
    <t>3Y Volatility</t>
  </si>
  <si>
    <t>De-risk over time; create buckets</t>
  </si>
  <si>
    <t>Cash / liquid assets outside the portfolio</t>
  </si>
  <si>
    <t>Role in Portfolio</t>
  </si>
  <si>
    <t>Ring-fence ₹35L first</t>
  </si>
  <si>
    <t>Determines how much of the ₹3 crore can truly be risk capital</t>
  </si>
  <si>
    <t>Initial Question</t>
  </si>
  <si>
    <t>What would be a mistake</t>
  </si>
  <si>
    <t>SOXX</t>
  </si>
  <si>
    <t>NEXT: TURN CONTEXT INTO THREE POSSIBLE CLIENT MANDATES</t>
  </si>
  <si>
    <t>Over-diversifying into low-return assets</t>
  </si>
  <si>
    <t>iShares Semiconductor ETF</t>
  </si>
  <si>
    <t>Chasing past returns</t>
  </si>
  <si>
    <t>US Equity ETF</t>
  </si>
  <si>
    <t>Treating earmarked money as risk capital</t>
  </si>
  <si>
    <t>Semiconductors</t>
  </si>
  <si>
    <t>We deliberately do not pretend to know one “true” goal from public data. Instead, the next sheet stress-tests the portfolio against three realistic HNI mandate types. That prevents us from forcing the portfolio into a recommendation before we know the client's purpose.</t>
  </si>
  <si>
    <t>US</t>
  </si>
  <si>
    <t>What changes next</t>
  </si>
  <si>
    <t>Exposure map</t>
  </si>
  <si>
    <t>ADDITIONAL CASE INTAKE — ASSUMED CLIENT-PROVIDED DATA</t>
  </si>
  <si>
    <t>Stress test + benchmarking</t>
  </si>
  <si>
    <t>Liquidity analysis + scenario test</t>
  </si>
  <si>
    <t>Monthly household spending</t>
  </si>
  <si>
    <t>₹2.18 lakh</t>
  </si>
  <si>
    <t>Determines the true liquidity requirement.</t>
  </si>
  <si>
    <t>Emergency reserve outside portfolio</t>
  </si>
  <si>
    <t>₹9.40 lakh</t>
  </si>
  <si>
    <t>Shows how much of the portfolio can remain invested through volatility.</t>
  </si>
  <si>
    <t>Insurance cover</t>
  </si>
  <si>
    <t>₹1.75 crore term + ₹18 lakh health cover</t>
  </si>
  <si>
    <t>Reduces forced-liquidation risk after an adverse event.</t>
  </si>
  <si>
    <t>Investment experience</t>
  </si>
  <si>
    <t>8+ years; comfortable with equities, less experienced with derivatives</t>
  </si>
  <si>
    <t>KEY INSIGHT</t>
  </si>
  <si>
    <t>Supports equity capacity but does not justify unlimited concentration.</t>
  </si>
  <si>
    <t>Behavioural drawdown threshold</t>
  </si>
  <si>
    <t>~20% before requesting a formal review</t>
  </si>
  <si>
    <t>Separates financial capacity from behavioural tolerance.</t>
  </si>
  <si>
    <t>India-focused operating business; ~55% revenue concentration in two major client categories</t>
  </si>
  <si>
    <t>Creates hidden economic concentration outside securities.</t>
  </si>
  <si>
    <t>Tax / cost-basis readiness</t>
  </si>
  <si>
    <t>Assume statements and acquisition cost data are available</t>
  </si>
  <si>
    <t>Allows tax-aware implementation rather than blunt selling.</t>
  </si>
  <si>
    <t>The same holding can be acceptable for one client and inappropriate for another. This is why the next sheets will analyse the portfolio objectively first, then return to the goal-specific interpretation when recommendations are made.</t>
  </si>
  <si>
    <t>Growth / diversification</t>
  </si>
  <si>
    <t>Is this size appropriate?</t>
  </si>
  <si>
    <t>IWM</t>
  </si>
  <si>
    <t>iShares Russell 2000 ETF</t>
  </si>
  <si>
    <t>Small Cap</t>
  </si>
  <si>
    <t>What job does this holding perform?</t>
  </si>
  <si>
    <t>QQQ</t>
  </si>
  <si>
    <t>STEP 5  |  VALIDATE BEFORE YOU ADVISE</t>
  </si>
  <si>
    <t>Invesco QQQ</t>
  </si>
  <si>
    <t>Technology / Growth</t>
  </si>
  <si>
    <t>The analyst's job is not to trust a spreadsheet because it looks tidy. This sheet shows the validation trail and the decisions it unlocks.</t>
  </si>
  <si>
    <t>Synthetic validation exercise. In a live client file, each source would be replaced with the client's statement, broker statement, fund factsheet, market data source or tax document.</t>
  </si>
  <si>
    <t>VALIDATION CONTROL LOG</t>
  </si>
  <si>
    <t>BTC</t>
  </si>
  <si>
    <t>Control</t>
  </si>
  <si>
    <t>Bitcoin</t>
  </si>
  <si>
    <t>Crypto</t>
  </si>
  <si>
    <t>Source field</t>
  </si>
  <si>
    <t>Digital Assets</t>
  </si>
  <si>
    <t>Source value</t>
  </si>
  <si>
    <t>Global</t>
  </si>
  <si>
    <t>Analyst field</t>
  </si>
  <si>
    <t>Analyst value</t>
  </si>
  <si>
    <t>Status</t>
  </si>
  <si>
    <t>Portfolio total</t>
  </si>
  <si>
    <t>Client-reported value</t>
  </si>
  <si>
    <t>High-risk satellite</t>
  </si>
  <si>
    <t>Our inventory total</t>
  </si>
  <si>
    <t>MSFT</t>
  </si>
  <si>
    <t>PASS</t>
  </si>
  <si>
    <t>Microsoft</t>
  </si>
  <si>
    <t>Correct denominator for allocation analysis.</t>
  </si>
  <si>
    <t>Direct Equity</t>
  </si>
  <si>
    <t>Technology</t>
  </si>
  <si>
    <t>Valuation date</t>
  </si>
  <si>
    <t>Case date</t>
  </si>
  <si>
    <t>Working valuation date</t>
  </si>
  <si>
    <t>All snapshot values are treated as same-date inputs.</t>
  </si>
  <si>
    <t>Holding identity</t>
  </si>
  <si>
    <t>Growth / stock selection</t>
  </si>
  <si>
    <t>Ticker / instrument mapping</t>
  </si>
  <si>
    <t>21 positions</t>
  </si>
  <si>
    <t>XLV</t>
  </si>
  <si>
    <t>21 mapped</t>
  </si>
  <si>
    <t>Health Care Select Sector SPDR</t>
  </si>
  <si>
    <t>Healthcare</t>
  </si>
  <si>
    <t>Allows consistent asset/sector/geography classification.</t>
  </si>
  <si>
    <t>Price source</t>
  </si>
  <si>
    <t>Public market / case assumption</t>
  </si>
  <si>
    <t>Mixed</t>
  </si>
  <si>
    <t>Synthetic working prices</t>
  </si>
  <si>
    <t>REVIEW</t>
  </si>
  <si>
    <t>Must be replaced by approved market data in a real case.</t>
  </si>
  <si>
    <t>Tax basis</t>
  </si>
  <si>
    <t>Not available</t>
  </si>
  <si>
    <t>—</t>
  </si>
  <si>
    <t>SLV</t>
  </si>
  <si>
    <t>iShares Silver Trust</t>
  </si>
  <si>
    <t>OPEN</t>
  </si>
  <si>
    <t>Commodity ETF</t>
  </si>
  <si>
    <t>Cannot calculate after-tax rebalance cost yet.</t>
  </si>
  <si>
    <t>Precious Metals</t>
  </si>
  <si>
    <t>Client liabilities</t>
  </si>
  <si>
    <t>Illustrative only</t>
  </si>
  <si>
    <t>₹35L loan</t>
  </si>
  <si>
    <t>₹35L assumed</t>
  </si>
  <si>
    <t>Must be confirmed before final suitability assessment.</t>
  </si>
  <si>
    <t>Diversifier</t>
  </si>
  <si>
    <t>UNH</t>
  </si>
  <si>
    <t>Not in portfolio statement</t>
  </si>
  <si>
    <t>UnitedHealth Group</t>
  </si>
  <si>
    <t>Unknown</t>
  </si>
  <si>
    <t>Illustrative business interest</t>
  </si>
  <si>
    <t>Could materially change overall risk picture.</t>
  </si>
  <si>
    <t>THE VALIDATION STORY</t>
  </si>
  <si>
    <t>Checkpoint</t>
  </si>
  <si>
    <t>What the analyst concludes</t>
  </si>
  <si>
    <t>1. The total reconciles</t>
  </si>
  <si>
    <t>The ₹3.57 crore denominator is internally consistent. Allocation percentages can therefore be interpreted without an arithmetic break.</t>
  </si>
  <si>
    <t>NKE</t>
  </si>
  <si>
    <t>Nike</t>
  </si>
  <si>
    <t>2. Identity is clean enough for analysis</t>
  </si>
  <si>
    <t>Every line has a working ticker / asset name and a common classification. That allows us to aggregate by asset class, sector and geography.</t>
  </si>
  <si>
    <t>Consumer</t>
  </si>
  <si>
    <t>3. Market data is still a limitation</t>
  </si>
  <si>
    <t>The case uses synthetic snapshot values. That is acceptable for a training workbook, but it means no claim should be made that these are today's actual market prices.</t>
  </si>
  <si>
    <t>4. Tax and liability information remain open</t>
  </si>
  <si>
    <t>This matters because the economically “best” portfolio change can be practically wrong if it creates a large tax bill or jeopardises a known liability.</t>
  </si>
  <si>
    <t>5. The next step is not a recommendation</t>
  </si>
  <si>
    <t>We now have enough validated structure to calculate the portfolio's actual composition and risk profile, while keeping the open fields visible as caveats.</t>
  </si>
  <si>
    <t>WHAT I WOULD ASK THE CLIENT / OPERATIONS TEAM FOR</t>
  </si>
  <si>
    <t>NVDA</t>
  </si>
  <si>
    <t>NVIDIA</t>
  </si>
  <si>
    <t>Source</t>
  </si>
  <si>
    <t>Fields needed</t>
  </si>
  <si>
    <t>Decision unlocked</t>
  </si>
  <si>
    <t>Broker / demat statement</t>
  </si>
  <si>
    <t>Current positions + quantities + cost basis</t>
  </si>
  <si>
    <t>Reconcile exact holdings</t>
  </si>
  <si>
    <t>Mutual fund CAS / statements</t>
  </si>
  <si>
    <t>Units + NAV + cost</t>
  </si>
  <si>
    <t>Verify fund values and tax lots</t>
  </si>
  <si>
    <t>Bank / deposit statements</t>
  </si>
  <si>
    <t>FD principal + maturity</t>
  </si>
  <si>
    <t>AMZN</t>
  </si>
  <si>
    <t>Verify liquidity bucket</t>
  </si>
  <si>
    <t>Amazon</t>
  </si>
  <si>
    <t>Tax records</t>
  </si>
  <si>
    <t>Consumer / Tech</t>
  </si>
  <si>
    <t>Purchase date / cost / realised gains</t>
  </si>
  <si>
    <t>Estimate implementation friction</t>
  </si>
  <si>
    <t>Goal schedule</t>
  </si>
  <si>
    <t>Cash-flow needs + dates</t>
  </si>
  <si>
    <t>Map assets to liabilities</t>
  </si>
  <si>
    <t>Business / other assets</t>
  </si>
  <si>
    <t>Sector + exposure</t>
  </si>
  <si>
    <t>Avoid hidden concentration</t>
  </si>
  <si>
    <t>NEXT: NOW THAT THE INPUTS ARE CONTROLLED, WE CAN LOOK THROUGH THE PORTFOLIO</t>
  </si>
  <si>
    <t>GOOGL</t>
  </si>
  <si>
    <t>Validation tells us what is reliable, what is synthetic and what remains open. The next sheet groups the holdings into meaningful economic buckets so we can see whether the apparent 21-line diversification is genuine.</t>
  </si>
  <si>
    <t>Alphabet</t>
  </si>
  <si>
    <t>HDFC Bank</t>
  </si>
  <si>
    <t>Indian Equity</t>
  </si>
  <si>
    <t>Financials</t>
  </si>
  <si>
    <t>India</t>
  </si>
  <si>
    <t>Growth</t>
  </si>
  <si>
    <t>Reliance</t>
  </si>
  <si>
    <t>Reliance Industries</t>
  </si>
  <si>
    <t>Energy / Consumer / Telecom</t>
  </si>
  <si>
    <t>ICICI Bank</t>
  </si>
  <si>
    <t>Nifty 50 ETF</t>
  </si>
  <si>
    <t>Nifty 50 Index ETF</t>
  </si>
  <si>
    <t>Indian Equity ETF</t>
  </si>
  <si>
    <t>Large Cap</t>
  </si>
  <si>
    <t>STEP 7  |  PERFORMANCE &amp; RISK</t>
  </si>
  <si>
    <t>Core equity</t>
  </si>
  <si>
    <t>Do not stop at “the portfolio made money.” We want to know what generated the return and what the client had to tolerate to earn it.</t>
  </si>
  <si>
    <t xml:space="preserve">                                  HOLDING-LEVEL RETURN CONTRIBUTION</t>
  </si>
  <si>
    <t>Flexicap Fund</t>
  </si>
  <si>
    <t>Diversified Flexicap MF</t>
  </si>
  <si>
    <t>Holding</t>
  </si>
  <si>
    <t>Mutual Fund</t>
  </si>
  <si>
    <t>Diversified Equity</t>
  </si>
  <si>
    <t>Value ₹L</t>
  </si>
  <si>
    <t>Diversified equity</t>
  </si>
  <si>
    <t>12M return</t>
  </si>
  <si>
    <t>Short Duration Debt</t>
  </si>
  <si>
    <t>Weight × return</t>
  </si>
  <si>
    <t>Short Duration Debt Fund</t>
  </si>
  <si>
    <t>3Y vol</t>
  </si>
  <si>
    <t>Debt MF</t>
  </si>
  <si>
    <t>Fixed Income</t>
  </si>
  <si>
    <t>Stability / liquidity</t>
  </si>
  <si>
    <t>Gold ETF</t>
  </si>
  <si>
    <t>Gold</t>
  </si>
  <si>
    <t>Liquid Fund</t>
  </si>
  <si>
    <t>Liquid Mutual Fund</t>
  </si>
  <si>
    <t>Cash Equivalent</t>
  </si>
  <si>
    <t>Cash / Short-term</t>
  </si>
  <si>
    <t>Liquidity</t>
  </si>
  <si>
    <t>Bank FD</t>
  </si>
  <si>
    <t>Fixed Deposit</t>
  </si>
  <si>
    <t>Deposit</t>
  </si>
  <si>
    <t>STEP 8  |  RED FLAGS &amp; HOW WE FOUND THEM</t>
  </si>
  <si>
    <t>FIRST READ — WHAT THE INVENTORY TELLS US</t>
  </si>
  <si>
    <t>evidence → interpretation → client impact → possible action.</t>
  </si>
  <si>
    <t>What it tells us / why it matters</t>
  </si>
  <si>
    <t>A red flag is not automatically a sell signal. It is a reason to investigate whether the exposure is justified by the client's objective, risk capacity and overall wealth.</t>
  </si>
  <si>
    <t>Portfolio size</t>
  </si>
  <si>
    <t>₹3.57 crore is large enough that a 1 percentage-point allocation decision represents about ₹3.57 lakh of capital risk or opportunity.</t>
  </si>
  <si>
    <t>RED-FLAG REGISTER</t>
  </si>
  <si>
    <t>Visible complexity</t>
  </si>
  <si>
    <t>21 lines look diversified, but several positions belong to the same economic themes: US growth/technology, semiconductors, financials and risk assets.</t>
  </si>
  <si>
    <t>ID</t>
  </si>
  <si>
    <t>Debt, liquid fund and FD provide a visible stabilising sleeve; we now test whether it covers the client's known ₹35.40 lakh cash requirement.</t>
  </si>
  <si>
    <t>Risk type</t>
  </si>
  <si>
    <t>Immediate question</t>
  </si>
  <si>
    <t>Where found</t>
  </si>
  <si>
    <t>Are we looking at 21 independent decisions or a smaller number of concentrated economic bets?</t>
  </si>
  <si>
    <t>Evidence</t>
  </si>
  <si>
    <t>Next step</t>
  </si>
  <si>
    <t>How we found it</t>
  </si>
  <si>
    <t>Validate the inputs and classify the holdings consistently before drawing conclusions from the weights.</t>
  </si>
  <si>
    <t>Possible response</t>
  </si>
  <si>
    <t>WHY THIS SHEET EXISTS</t>
  </si>
  <si>
    <t>Goal sensitivity</t>
  </si>
  <si>
    <t>RF-01</t>
  </si>
  <si>
    <t>A portfolio review starts with a clean inventory because every later conclusion depends on getting the denominator right. If a holding is missing, misclassified or valued on a different date, concentration and allocation percentages can all become misleading.</t>
  </si>
  <si>
    <t>Theme concentration</t>
  </si>
  <si>
    <t>Semiconductor cluster</t>
  </si>
  <si>
    <t>SOXX + NVDA ≈ 11.6%</t>
  </si>
  <si>
    <t>Two positions express the same theme</t>
  </si>
  <si>
    <t>Large drawdown in semiconductors can hit multiple lines at once</t>
  </si>
  <si>
    <t>Review combined cap; consider trimming one source of exposure</t>
  </si>
  <si>
    <t>Goal 1: moderate concern | Goal 2: high concern</t>
  </si>
  <si>
    <t>RF-02</t>
  </si>
  <si>
    <t>Technology overlap</t>
  </si>
  <si>
    <t>US growth cluster</t>
  </si>
  <si>
    <t>QQQ + MSFT + GOOGL + AMZN + tech share of SOXX</t>
  </si>
  <si>
    <t>Different securities can still behave like one trade</t>
  </si>
  <si>
    <t>Client may believe diversification is higher than it really is</t>
  </si>
  <si>
    <t>Calculate look-through overlap; consolidate where redundancy adds little</t>
  </si>
  <si>
    <t>All goals</t>
  </si>
  <si>
    <t>RF-03</t>
  </si>
  <si>
    <t>Crypto volatility</t>
  </si>
  <si>
    <t>≈5.3% of portfolio</t>
  </si>
  <si>
    <t>Small weight can create disproportionate P&amp;L swings</t>
  </si>
  <si>
    <t>Can undermine a moderate-risk mandate</t>
  </si>
  <si>
    <t>Keep as satellite only if explicitly accepted; cap exposure</t>
  </si>
  <si>
    <t>Goal 2/3: high concern</t>
  </si>
  <si>
    <t>RF-04</t>
  </si>
  <si>
    <t>Single-stock concentration</t>
  </si>
  <si>
    <t>≈6.4% direct weight plus index/fund overlap</t>
  </si>
  <si>
    <t>Direct weight understates total financial exposure</t>
  </si>
  <si>
    <t>Business / sector stress could be amplified</t>
  </si>
  <si>
    <t>Review total look-through financials exposure</t>
  </si>
  <si>
    <t>Goal 1: monitor; Goal 2/3: review</t>
  </si>
  <si>
    <t>RF-05</t>
  </si>
  <si>
    <t>Liquidity earmarking</t>
  </si>
  <si>
    <t>₹35L future need</t>
  </si>
  <si>
    <t>Debt + FD + liquid assets exist, but exact goal matching is unverified</t>
  </si>
  <si>
    <t>A market fall should not force equity sales to fund a known liability</t>
  </si>
  <si>
    <t>Ring-fence a goal bucket before optimising return</t>
  </si>
  <si>
    <t>Goal 3: highest priority</t>
  </si>
  <si>
    <t>RF-06</t>
  </si>
  <si>
    <t>Data-quality gap</t>
  </si>
  <si>
    <t>Tax + liabilities + business exposure</t>
  </si>
  <si>
    <t>Not in public portfolio</t>
  </si>
  <si>
    <t>Recommendation can be financially sensible but practically unsuitable</t>
  </si>
  <si>
    <t>Could change rebalancing order and tax cost</t>
  </si>
  <si>
    <t>Obtain documents before implementation</t>
  </si>
  <si>
    <t xml:space="preserve">                               HOW A RED FLAG IS ACTUALLY FOUND — WALKTHROUGH</t>
  </si>
  <si>
    <t>Stage</t>
  </si>
  <si>
    <t>What happens</t>
  </si>
  <si>
    <t>Step 1 — Sort</t>
  </si>
  <si>
    <t>Sort holdings by weight. Large positions become immediate review candidates.</t>
  </si>
  <si>
    <t>Step 2 — Group</t>
  </si>
  <si>
    <t>Group by asset class, sector and economic theme. This reveals hidden overlap.</t>
  </si>
  <si>
    <t>Step 3 — Stress</t>
  </si>
  <si>
    <t>Apply a plausible shock to the group rather than each security independently.</t>
  </si>
  <si>
    <t>Step 4 — Link to goal</t>
  </si>
  <si>
    <t>Ask whether the resulting drawdown would interfere with a known goal.</t>
  </si>
  <si>
    <t>Step 5 — Decide priority</t>
  </si>
  <si>
    <t>High impact + high relevance to the client's goal = priority issue.</t>
  </si>
  <si>
    <t>Step 6 — Choose action</t>
  </si>
  <si>
    <t>Keep, reduce, exit, replace or ring-fence; do not sell merely because a number is large.</t>
  </si>
  <si>
    <t xml:space="preserve">                               THE THREE BIGGEST RED FLAGS IN THIS CASE.  </t>
  </si>
  <si>
    <t>STEP 6  |  PORTFOLIO CONSTRUCTION</t>
  </si>
  <si>
    <t>Priority finding</t>
  </si>
  <si>
    <t>Why it deserves attention</t>
  </si>
  <si>
    <t>1. Overlap is bigger than the statement makes it look</t>
  </si>
  <si>
    <t>Turn 21 lines into a small number of decision buckets. The goal is to see the portfolio the way an advisor sees it, not the way a statement lists it.</t>
  </si>
  <si>
    <t>The client has several separate US technology / growth holdings. The key insight is not “too many stocks”; it is “too many ways of expressing the same growth factor.”</t>
  </si>
  <si>
    <t>Classification is synthetic and intentionally simplified for interview training. The objective is to demonstrate look-through thinking, not to reproduce a regulated portfolio accounting system.</t>
  </si>
  <si>
    <t>2. The crypto line is small in weight but large in risk contribution</t>
  </si>
  <si>
    <t>A 60% drawdown in a 5% position can create a ~3 percentage-point portfolio hit before considering second-order market effects.</t>
  </si>
  <si>
    <t xml:space="preserve">                     ASSET-CLASS VIEW</t>
  </si>
  <si>
    <t>3. The ₹35L future need changes the conversation</t>
  </si>
  <si>
    <t>If the client really needs ₹35L in 3–4 years, protecting that amount is more important than squeezing a few extra points of expected return from the total portfolio.</t>
  </si>
  <si>
    <t>Economic bucket</t>
  </si>
  <si>
    <t>Portfolio role</t>
  </si>
  <si>
    <t>Equity / Growth</t>
  </si>
  <si>
    <t>Core</t>
  </si>
  <si>
    <t>Commodities</t>
  </si>
  <si>
    <t>Satellite / stabiliser</t>
  </si>
  <si>
    <t>Cash / Liquidity</t>
  </si>
  <si>
    <t xml:space="preserve">                        SECTOR / THEME VIEW</t>
  </si>
  <si>
    <t>Economic exposure</t>
  </si>
  <si>
    <t>Illustrative portfolio</t>
  </si>
  <si>
    <t>Initial attention</t>
  </si>
  <si>
    <t>High attention</t>
  </si>
  <si>
    <t>Monitor</t>
  </si>
  <si>
    <t xml:space="preserve">                                        PORTFOLIO-LEVEL READ       </t>
  </si>
  <si>
    <t>Low</t>
  </si>
  <si>
    <t>STEP 9  |  REAL MARKET DATA &amp; PORTFOLIO BENCHMARK MAP</t>
  </si>
  <si>
    <t>ILLUSTRATIVE 12M RETURN</t>
  </si>
  <si>
    <t>WEIGHTED 3Y CAGR</t>
  </si>
  <si>
    <t>WEIGHTED 3Y VOLATILITY</t>
  </si>
  <si>
    <t>BTC WEIGHT</t>
  </si>
  <si>
    <t>Portfolio valuation date fixed at 30 June 2025 so every market comparison uses a common, auditable date.</t>
  </si>
  <si>
    <t xml:space="preserve">             LOOK-THROUGH REASONING</t>
  </si>
  <si>
    <t>TOP HOLDING WEIGHT</t>
  </si>
  <si>
    <t>A. CASE DATE &amp; DATA GOVERNANCE</t>
  </si>
  <si>
    <t>Finding</t>
  </si>
  <si>
    <t>Value</t>
  </si>
  <si>
    <t>Period / unit</t>
  </si>
  <si>
    <t>Why it matters / what it changes</t>
  </si>
  <si>
    <t>Portfolio valuation date</t>
  </si>
  <si>
    <t>Month-end trading date</t>
  </si>
  <si>
    <t>Chosen because it aligns with the latest public-portfolio activity visible in the case and has extensive month-end market data.</t>
  </si>
  <si>
    <t>Technology cluster</t>
  </si>
  <si>
    <t>Portfolio case assumption</t>
  </si>
  <si>
    <t>Comparison window</t>
  </si>
  <si>
    <t>QQQ + MSFT + GOOGL + AMZN + part of SOXX creates a larger technology/growth exposure than any single line suggests.</t>
  </si>
  <si>
    <t>28-Jun-2024 to 30-Jun-2025</t>
  </si>
  <si>
    <t>1-year window</t>
  </si>
  <si>
    <t>SOXX + NVDA creates a direct thematic concentration. The client owns both an ETF and a large single stock in the same economic theme.</t>
  </si>
  <si>
    <t>For 1-year figures, use the last available trading day before/at the start date and 30-Jun-2025 where the source defines the period.</t>
  </si>
  <si>
    <t>Source-specific</t>
  </si>
  <si>
    <t>Financials cluster</t>
  </si>
  <si>
    <t>YTD window</t>
  </si>
  <si>
    <t>HDFC Bank + ICICI Bank + financial exposure inside Nifty/Flexicap means the visible direct-stock weights understate total financial-sector exposure.</t>
  </si>
  <si>
    <t>31-Dec-2024 to 30-Jun-2025</t>
  </si>
  <si>
    <t>2025 YTD</t>
  </si>
  <si>
    <t>Risk assets</t>
  </si>
  <si>
    <t>Used where a provider publishes a clean YTD figure as of 30-Jun-2025.</t>
  </si>
  <si>
    <t>BTC is a small line compared with the whole portfolio, but its volatility means its contribution to downside risk can be much larger than its 5% weight suggests.</t>
  </si>
  <si>
    <t>Currency treatment</t>
  </si>
  <si>
    <t>Stability sleeve</t>
  </si>
  <si>
    <t>Native market currency for source return; ₹ portfolio value</t>
  </si>
  <si>
    <t>Debt + FD + liquid fund create a meaningful stabilising pool. The question is whether it is enough for the client's actual near-term needs.</t>
  </si>
  <si>
    <t>USD assets not FX-adjusted in proxy table</t>
  </si>
  <si>
    <t>This sheet compares underlying market performance. It does not pretend the INR investor return equals the USD asset return unless FX is separately modelled.</t>
  </si>
  <si>
    <t>Methodological note</t>
  </si>
  <si>
    <t>Correlation rule</t>
  </si>
  <si>
    <t>No fake correlation coefficient</t>
  </si>
  <si>
    <t>A single date/return cannot produce statistical correlation</t>
  </si>
  <si>
    <t>True correlation requires a time series of daily/weekly returns. Therefore this sheet uses economic exposure mapping and explicitly does NOT fabricate a correlation coefficient.</t>
  </si>
  <si>
    <t>Analytical control</t>
  </si>
  <si>
    <t>B. INDIAN MARKET — REAL DATA AS OF 30 JUNE 2025</t>
  </si>
  <si>
    <t>Market series</t>
  </si>
  <si>
    <t>As-of date</t>
  </si>
  <si>
    <t>1Y return / level</t>
  </si>
  <si>
    <t>Period</t>
  </si>
  <si>
    <t>Data type</t>
  </si>
  <si>
    <t>Nifty 50 TRI</t>
  </si>
  <si>
    <t xml:space="preserve">                                           STRESS TEST — WHAT IF A RISK BUCKET FALLS?</t>
  </si>
  <si>
    <t>Indian large-cap equity</t>
  </si>
  <si>
    <t>7.49%</t>
  </si>
  <si>
    <t>1 year</t>
  </si>
  <si>
    <t>TRI</t>
  </si>
  <si>
    <t>PPFAS June 2025 factsheet</t>
  </si>
  <si>
    <t>Scenario</t>
  </si>
  <si>
    <t>Exposure</t>
  </si>
  <si>
    <t>Portfolio weight</t>
  </si>
  <si>
    <t>Shock</t>
  </si>
  <si>
    <t>Illustrative portfolio impact</t>
  </si>
  <si>
    <t>Nifty 500 TRI</t>
  </si>
  <si>
    <t>Broad Indian equity</t>
  </si>
  <si>
    <t>5.64%</t>
  </si>
  <si>
    <t>SOXX + NVDA</t>
  </si>
  <si>
    <t>Nifty Midcap 150 TRI</t>
  </si>
  <si>
    <t>Indian mid-cap equity</t>
  </si>
  <si>
    <t>6.08%</t>
  </si>
  <si>
    <t>ICICI Prudential June 2025 factsheet</t>
  </si>
  <si>
    <t>Nifty Bank</t>
  </si>
  <si>
    <t>Indian banking</t>
  </si>
  <si>
    <t>17.70%</t>
  </si>
  <si>
    <t>Index return</t>
  </si>
  <si>
    <t>Tata Mutual Fund June 2025 factsheet</t>
  </si>
  <si>
    <t>US growth / tech</t>
  </si>
  <si>
    <t>QQQ + MSFT + GOOGL + AMZN</t>
  </si>
  <si>
    <t>Nifty IT</t>
  </si>
  <si>
    <t>Indian information technology</t>
  </si>
  <si>
    <t>18.70%</t>
  </si>
  <si>
    <t>Nifty 50 Price Index</t>
  </si>
  <si>
    <t>Broad equity / growth</t>
  </si>
  <si>
    <t>25,517.05</t>
  </si>
  <si>
    <t>index level</t>
  </si>
  <si>
    <t>Price index</t>
  </si>
  <si>
    <t>NSE Indices / Tata MF June 2025 factsheet</t>
  </si>
  <si>
    <t>All equity / growth</t>
  </si>
  <si>
    <t>C. U.S. EQUITY &amp; GLOBAL RISK ASSETS — REAL DATA</t>
  </si>
  <si>
    <t>Return</t>
  </si>
  <si>
    <t xml:space="preserve">                                         WHAT THE CALCULATIONS ACTUALLY TELL US</t>
  </si>
  <si>
    <t>S&amp;P 500 Total Return</t>
  </si>
  <si>
    <t>US broad large-cap</t>
  </si>
  <si>
    <t>15.16%</t>
  </si>
  <si>
    <t>Total return</t>
  </si>
  <si>
    <t>YCharts market-return table, data as of 30-Jun-2025</t>
  </si>
  <si>
    <t>Nasdaq-100 Index</t>
  </si>
  <si>
    <t>US large-cap growth / technology</t>
  </si>
  <si>
    <t>16.10%</t>
  </si>
  <si>
    <t>Invesco QQQ Q2 2025 factsheet</t>
  </si>
  <si>
    <t>Interpretation / next decision</t>
  </si>
  <si>
    <t>STEP 10  |  GOAL BENCHMARKING &amp; IMPLEMENTATION</t>
  </si>
  <si>
    <t>The synthetic portfolio earns a strong positive 12-month result, but the return is partly driven by high-beta / thematic assets. A strong headline number does not prove suitability.</t>
  </si>
  <si>
    <t>A. THE THREE MANDATES</t>
  </si>
  <si>
    <t>Volatility</t>
  </si>
  <si>
    <t>QQQ NAV</t>
  </si>
  <si>
    <t>US large-cap growth</t>
  </si>
  <si>
    <t>15.82%</t>
  </si>
  <si>
    <t>Weighted component volatility is elevated because the portfolio contains crypto, semiconductors, small-cap exposure and concentrated growth equities.</t>
  </si>
  <si>
    <t>ETF total return</t>
  </si>
  <si>
    <t>Russell 2000 / IWM</t>
  </si>
  <si>
    <t>US small-cap</t>
  </si>
  <si>
    <t>7.58%</t>
  </si>
  <si>
    <t>Overlap</t>
  </si>
  <si>
    <t>Concrete Advancement Foundation performance report, quarter ended 30-Jun-2025</t>
  </si>
  <si>
    <t>Horizon</t>
  </si>
  <si>
    <t>US semiconductors</t>
  </si>
  <si>
    <t>Risk budget</t>
  </si>
  <si>
    <t>11.17%</t>
  </si>
  <si>
    <t>SOXX and NVDA are not independent bets; the stress test therefore looks at the cluster rather than the individual line.</t>
  </si>
  <si>
    <t>What success means</t>
  </si>
  <si>
    <t>BlackRock/iShares SOXX SEC filing</t>
  </si>
  <si>
    <t>US healthcare</t>
  </si>
  <si>
    <t>-5.95%</t>
  </si>
  <si>
    <t>Goal 1 — Wealth compounding</t>
  </si>
  <si>
    <t>June 2025 mutual-fund/ETF performance compilation citing SPDR data</t>
  </si>
  <si>
    <t>10+ years</t>
  </si>
  <si>
    <t>High</t>
  </si>
  <si>
    <t>Nasdaq Composite</t>
  </si>
  <si>
    <t>US technology-heavy broad market</t>
  </si>
  <si>
    <t>Grow ₹3.57Cr materially while tolerating interim drawdowns.</t>
  </si>
  <si>
    <t>Growth is the dominant job; diversification and concentration control are still required.</t>
  </si>
  <si>
    <t>15.57%</t>
  </si>
  <si>
    <t>Goal 2 — Retirement readiness</t>
  </si>
  <si>
    <t>Goal 1 can tolerate more growth risk than Goal 2. Goal 3 requires a protected liquidity bucket even if the overall portfolio remains growth-oriented.</t>
  </si>
  <si>
    <t>~5–10 years</t>
  </si>
  <si>
    <t>Medium</t>
  </si>
  <si>
    <t>D. COMMODITIES, CRYPTO &amp; RATES — REAL DATA</t>
  </si>
  <si>
    <t>Build a reliable corpus and reduce the probability that a bad market phase damages the withdrawal plan.</t>
  </si>
  <si>
    <t>Stability and liquidity become more important as the withdrawal date approaches.</t>
  </si>
  <si>
    <t>Goal 3 — ₹35L known outlay</t>
  </si>
  <si>
    <t>3–4 years</t>
  </si>
  <si>
    <t>Next</t>
  </si>
  <si>
    <t>Low for liability bucket</t>
  </si>
  <si>
    <t>Protect the amount required for a known future obligation while investing the residual corpus for longer-term growth.</t>
  </si>
  <si>
    <t>The liability should not depend on BTC, semiconductors or other high-volatility assets.</t>
  </si>
  <si>
    <t>The next sheet turns these observations into explicit red flags, with evidence and possible actions.</t>
  </si>
  <si>
    <t>B. CURRENT PORTFOLIO — THE STARTING POINT</t>
  </si>
  <si>
    <t>Value / return</t>
  </si>
  <si>
    <t>Gold bullion</t>
  </si>
  <si>
    <t>Current bucket</t>
  </si>
  <si>
    <t>$3,303.14/oz</t>
  </si>
  <si>
    <t>YTD +25.86%</t>
  </si>
  <si>
    <t>Spot</t>
  </si>
  <si>
    <t>Sprott/Bloomberg, performance as of 30-Jun-2025</t>
  </si>
  <si>
    <t>Growth / Equity</t>
  </si>
  <si>
    <t>Domestic gold benchmark</t>
  </si>
  <si>
    <t>Gold in India</t>
  </si>
  <si>
    <t>Benchmark tracked by gold ETFs</t>
  </si>
  <si>
    <t>Physical gold price</t>
  </si>
  <si>
    <t>Baroda BNP Paribas Gold ETF factsheet</t>
  </si>
  <si>
    <t>Silver bullion</t>
  </si>
  <si>
    <t>Silver</t>
  </si>
  <si>
    <t>$36.11/oz</t>
  </si>
  <si>
    <t>YTD +24.94%</t>
  </si>
  <si>
    <t>Domestic silver benchmark</t>
  </si>
  <si>
    <t>Silver in India</t>
  </si>
  <si>
    <t>20.23%</t>
  </si>
  <si>
    <t>Benchmark return</t>
  </si>
  <si>
    <t>ICICI Prudential Silver ETF FoF June 2025 factsheet</t>
  </si>
  <si>
    <t>C. STRATEGIC ALLOCATION — THREE DIFFERENT JOBS FOR THE SAME ₹3.57 CRORE</t>
  </si>
  <si>
    <t>Digital asset</t>
  </si>
  <si>
    <t>74.0%</t>
  </si>
  <si>
    <t>USD return</t>
  </si>
  <si>
    <t>VanEck Q3 2025 outlook, Bloomberg data as of 30-Jun-2025</t>
  </si>
  <si>
    <t>US 10Y Treasury yield</t>
  </si>
  <si>
    <t>US fixed income</t>
  </si>
  <si>
    <t>4.24%</t>
  </si>
  <si>
    <t>point-in-time</t>
  </si>
  <si>
    <t>Yield</t>
  </si>
  <si>
    <t>Mandate</t>
  </si>
  <si>
    <t>YCharts market/rate table, data as of 30-Jun-2025</t>
  </si>
  <si>
    <t>India 10Y G-sec yield</t>
  </si>
  <si>
    <t>Indian fixed income</t>
  </si>
  <si>
    <t>Cash</t>
  </si>
  <si>
    <t>~6.3%</t>
  </si>
  <si>
    <t>Crisil June 2025 RateView</t>
  </si>
  <si>
    <t>Reason</t>
  </si>
  <si>
    <t>Growth compounding</t>
  </si>
  <si>
    <t>Growth first; diversifiers are controlled and crypto is not required to hit the mandate.</t>
  </si>
  <si>
    <t>Retirement readiness</t>
  </si>
  <si>
    <t>Lower drawdown sensitivity and more dependable liquidity as withdrawals approach.</t>
  </si>
  <si>
    <t>₹35L outlay + residual growth</t>
  </si>
  <si>
    <t>First protect the liability; residual capital can remain growth-oriented.</t>
  </si>
  <si>
    <t>D. WHY THESE TARGETS? — THE ASSUMPTION LOG</t>
  </si>
  <si>
    <t>E. HOLDING → REAL MARKET PROXY MAP</t>
  </si>
  <si>
    <t>Asset assumption</t>
  </si>
  <si>
    <t>Base expected return</t>
  </si>
  <si>
    <t>Type</t>
  </si>
  <si>
    <t>Why this magnitude</t>
  </si>
  <si>
    <t>Planning logic</t>
  </si>
  <si>
    <t>Indian / global equity growth sleeve</t>
  </si>
  <si>
    <t>10.0% nominal p.a.</t>
  </si>
  <si>
    <t>Case-study planning assumption</t>
  </si>
  <si>
    <t>Below the 15.16% S&amp;P 500 and above the lower recent Indian 1Y benchmarks in some sleeves; deliberately avoids extrapolating one exceptional year.</t>
  </si>
  <si>
    <t>Long-horizon planning should not simply repeat the strongest recent market return.</t>
  </si>
  <si>
    <t>Fixed income</t>
  </si>
  <si>
    <t>6.5% nominal p.a.</t>
  </si>
  <si>
    <t>Asset class</t>
  </si>
  <si>
    <t>Anchored around the June-2025 Indian fixed-income rate environment (~6.3% 10Y G-sec yield), with modest allowance for carry/roll-down in a diversified debt sleeve.</t>
  </si>
  <si>
    <t>Debt is being used for stability first, not return maximisation.</t>
  </si>
  <si>
    <t>Market bucket</t>
  </si>
  <si>
    <t>Market return / value</t>
  </si>
  <si>
    <t>5.0% nominal p.a.</t>
  </si>
  <si>
    <t>Conservative relative to the 4.28% 1M Treasury rate and designed to represent a liquid yield environment rather than equity-like growth.</t>
  </si>
  <si>
    <t>As-of</t>
  </si>
  <si>
    <t>Mapping logic</t>
  </si>
  <si>
    <t>Cash should be available when the goal requires it.</t>
  </si>
  <si>
    <t>Direct ETF benchmark</t>
  </si>
  <si>
    <t>BlackRock/iShares SEC filing</t>
  </si>
  <si>
    <t>Gold / commodities</t>
  </si>
  <si>
    <t>6.0% nominal p.a.</t>
  </si>
  <si>
    <t>Well below the exceptional 2025 YTD gold/silver performance; treats commodities as diversifiers rather than perpetual high-return assets.</t>
  </si>
  <si>
    <t>Avoids projecting a commodity spike forever.</t>
  </si>
  <si>
    <t>0.0% in goal projection</t>
  </si>
  <si>
    <t>Risk-budget treatment</t>
  </si>
  <si>
    <t>Bitcoin returned 74% over the prior year, but that extreme outcome is precisely why it should not be used as a dependable goal-funding assumption.</t>
  </si>
  <si>
    <t>Upside is optional; liability funding should not depend on it.</t>
  </si>
  <si>
    <t>E. EXPECTED RETURN OF EACH STRATEGIC PORTFOLIO</t>
  </si>
  <si>
    <t>Concrete Advancement Foundation report</t>
  </si>
  <si>
    <t>Equity %</t>
  </si>
  <si>
    <t>Debt %</t>
  </si>
  <si>
    <t>Cash %</t>
  </si>
  <si>
    <t>Commodities %</t>
  </si>
  <si>
    <t>Crypto %</t>
  </si>
  <si>
    <t>Illustrative expected return</t>
  </si>
  <si>
    <t>US growth</t>
  </si>
  <si>
    <t>Underlying index benchmark</t>
  </si>
  <si>
    <t>Direct asset benchmark</t>
  </si>
  <si>
    <t>VanEck/Bloomberg</t>
  </si>
  <si>
    <t>US growth / technology</t>
  </si>
  <si>
    <t>Economic proxy, not holding return</t>
  </si>
  <si>
    <t>F. 5-YEAR &amp; 10-YEAR COMPOUNDING DEMONSTRATION</t>
  </si>
  <si>
    <t>Direct sector ETF benchmark</t>
  </si>
  <si>
    <t>SPDR/June 2025 performance compilation</t>
  </si>
  <si>
    <t>STEP 10A  |  RECOMMENDATION — EVIDENCE → ACTION</t>
  </si>
  <si>
    <t>Expected return</t>
  </si>
  <si>
    <t>Starting capital</t>
  </si>
  <si>
    <t>Horizon shown</t>
  </si>
  <si>
    <t>Illustrative ending value</t>
  </si>
  <si>
    <t>Interpretation</t>
  </si>
  <si>
    <t>The recommendation is now explicitly downstream of real market benchmarking and goal benchmarking.</t>
  </si>
  <si>
    <t>Illustrative case-study recommendation. The client mandate must be confirmed before any real implementation.</t>
  </si>
  <si>
    <t>Direct benchmark for domestic silver exposure</t>
  </si>
  <si>
    <t>10 years</t>
  </si>
  <si>
    <t>ICICI Prudential Silver ETF FoF</t>
  </si>
  <si>
    <t>Long-horizon illustration; assumes no contributions/withdrawals.</t>
  </si>
  <si>
    <t>Sector proxy; insurer-specific return may differ</t>
  </si>
  <si>
    <t>Illustration only; real retirement analysis needs cash-flow modelling, not just corpus compounding.</t>
  </si>
  <si>
    <t>1. DIAGNOSIS</t>
  </si>
  <si>
    <t>US large-cap equity</t>
  </si>
  <si>
    <t>Broad proxy; consumer-discretionary-specific return would be preferable if available</t>
  </si>
  <si>
    <t>YCharts market-return table</t>
  </si>
  <si>
    <t>4 years</t>
  </si>
  <si>
    <t>Liability is separately ring-fenced; this ending value is the residual corpus only and excludes the ₹35L liability bucket.</t>
  </si>
  <si>
    <t>G. GOAL 3 — ₹35 LAKH LIABILITY: RING-FENCE THE LIABILITY FIRST</t>
  </si>
  <si>
    <t>Decision implication</t>
  </si>
  <si>
    <t>Market context</t>
  </si>
  <si>
    <t>30-Jun-2025 was a strong period for several risk assets: S&amp;P 500 +15.16% 1Y, Nasdaq-100 +16.10%, Bitcoin +74.0%, while XLV was -5.95%.</t>
  </si>
  <si>
    <t>The portfolio therefore contains exposures that recently behaved very differently; diversification is real, but so are concentrated risks.</t>
  </si>
  <si>
    <t>Portfolio structure</t>
  </si>
  <si>
    <t>71.1% is classified as growth/equity; crypto is ~5.3%; commodities ~7.4%.</t>
  </si>
  <si>
    <t>The portfolio is clearly growth-oriented and should not be treated as a balanced low-risk portfolio.</t>
  </si>
  <si>
    <t>Goal dependency</t>
  </si>
  <si>
    <t>The same portfolio can be defensible for long-horizon wealth compounding and too aggressive for retirement / near-term liability funding.</t>
  </si>
  <si>
    <t>Suitability—not recent return—is the decision criterion.</t>
  </si>
  <si>
    <t>Sector proxy; NVDA is one constituent and can diverge materially</t>
  </si>
  <si>
    <t>2. RECOMMENDATION MATRIX</t>
  </si>
  <si>
    <t>Amount</t>
  </si>
  <si>
    <t>Calculation / basis</t>
  </si>
  <si>
    <t>US growth / consumer-tech</t>
  </si>
  <si>
    <t>Future liability</t>
  </si>
  <si>
    <t>₹35.40L</t>
  </si>
  <si>
    <t>Economic proxy</t>
  </si>
  <si>
    <t>₹35.40L required in year 4</t>
  </si>
  <si>
    <t>Keep</t>
  </si>
  <si>
    <t>Known objective; should not be financed by high-volatility assets.</t>
  </si>
  <si>
    <t>Review / reduce</t>
  </si>
  <si>
    <t>Do not rely on</t>
  </si>
  <si>
    <t>Planning rate</t>
  </si>
  <si>
    <t>Implementation</t>
  </si>
  <si>
    <t>6.50% p.a.</t>
  </si>
  <si>
    <t>Illustrative debt return</t>
  </si>
  <si>
    <t>Keep growth core</t>
  </si>
  <si>
    <t>Anchored near June-2025 Indian fixed-income environment; not guaranteed.</t>
  </si>
  <si>
    <t>Reduce duplicated technology/semiconductor risk</t>
  </si>
  <si>
    <t>Keep crypto only as explicitly approved satellite</t>
  </si>
  <si>
    <t>Rebalance within strategic ranges</t>
  </si>
  <si>
    <t>Indicative amount today</t>
  </si>
  <si>
    <t>₹27.52L</t>
  </si>
  <si>
    <t>Retirement</t>
  </si>
  <si>
    <t>₹35.40L / (1.065)^4</t>
  </si>
  <si>
    <t>Increase debt / liquidity</t>
  </si>
  <si>
    <t>Reduce high-beta concentration</t>
  </si>
  <si>
    <t>Shows the opportunity cost of ring-fencing via a low-volatility sleeve rather than keeping the entire ₹35L idle.</t>
  </si>
  <si>
    <t>Remove dependency on crypto for goal funding</t>
  </si>
  <si>
    <t>Build withdrawal bucket</t>
  </si>
  <si>
    <t>Residual corpus</t>
  </si>
  <si>
    <t>₹35L outlay</t>
  </si>
  <si>
    <t>₹3.29Cr</t>
  </si>
  <si>
    <t>Ring-fence liability</t>
  </si>
  <si>
    <t>Fund the liability from low-volatility assets</t>
  </si>
  <si>
    <t>₹3.57Cr − ₹27.52L</t>
  </si>
  <si>
    <t>Do not count crypto/semiconductors toward required goal funding</t>
  </si>
  <si>
    <t>Only the residual capital should carry the long-horizon growth mandate.</t>
  </si>
  <si>
    <t>Optimise only the residual corpus</t>
  </si>
  <si>
    <t>Sector benchmark</t>
  </si>
  <si>
    <t>Tata MF June 2025 factsheet</t>
  </si>
  <si>
    <t>3. WHAT WE WOULD DO FIRST</t>
  </si>
  <si>
    <t>Liability check</t>
  </si>
  <si>
    <t>Indian large-cap</t>
  </si>
  <si>
    <t>Broad large-cap proxy</t>
  </si>
  <si>
    <t>Action</t>
  </si>
  <si>
    <t>₹27.52L × (1 + 6.5%)^4 ≈ ₹35.40L</t>
  </si>
  <si>
    <t>Confirm goal + horizon</t>
  </si>
  <si>
    <t>Ask the client to rank the three mandates; this changes the risk budget.</t>
  </si>
  <si>
    <t>Confirm liquidity need</t>
  </si>
  <si>
    <t>Verify whether ₹35L is genuinely required in 3–4 years and whether other liabilities exist.</t>
  </si>
  <si>
    <t>Look through overlapping exposures</t>
  </si>
  <si>
    <t>This is a mathematical illustration, not a guaranteed investment outcome.</t>
  </si>
  <si>
    <t>Treat QQQ + MSFT + GOOGL + AMZN + SOXX + NVDA as economic exposures, not six independent bets.</t>
  </si>
  <si>
    <t>Direct benchmark</t>
  </si>
  <si>
    <t>Set concentration limits</t>
  </si>
  <si>
    <t>Agree caps for single names, semiconductor theme and crypto.</t>
  </si>
  <si>
    <t>H. IMPLEMENTATION — SHOW THE PORTFOLIO CHANGE IN RUPEES</t>
  </si>
  <si>
    <t>Rebalance gradually</t>
  </si>
  <si>
    <t>Use new money / staged sales where appropriate rather than indiscriminate churn.</t>
  </si>
  <si>
    <t>6</t>
  </si>
  <si>
    <t>Broad benchmark</t>
  </si>
  <si>
    <t>Document the rationale</t>
  </si>
  <si>
    <t>Every change must point back to a goal or risk identified in the workbook.</t>
  </si>
  <si>
    <t>WHY THIS IS BETTER</t>
  </si>
  <si>
    <t>~6.3% yield</t>
  </si>
  <si>
    <t>Bucket</t>
  </si>
  <si>
    <t>Rate environment proxy; NOT a fund return</t>
  </si>
  <si>
    <t>Current ₹L</t>
  </si>
  <si>
    <t>Current %</t>
  </si>
  <si>
    <t>Target ₹L</t>
  </si>
  <si>
    <t>Target %</t>
  </si>
  <si>
    <t>first  identify the client goal, map the portfolio to real market risks, then choose a strategic allocation and show the rupee consequences.</t>
  </si>
  <si>
    <t>₹ change</t>
  </si>
  <si>
    <t>n/a in source table</t>
  </si>
  <si>
    <t>1 year benchmark exists</t>
  </si>
  <si>
    <t>Domestic physical gold benchmark</t>
  </si>
  <si>
    <t>Cash / very short duration</t>
  </si>
  <si>
    <t>4. GOAL 1 — LONG-TERM WEALTH COMPOUNDING</t>
  </si>
  <si>
    <t>4.28%</t>
  </si>
  <si>
    <t>Reduce</t>
  </si>
  <si>
    <t>Rate proxy, not fund return</t>
  </si>
  <si>
    <t>YCharts market/rate table</t>
  </si>
  <si>
    <t>Keep the growth engine. Remove duplicated economic bets and add enough stabilising capital to rebalance rather than react.</t>
  </si>
  <si>
    <t>Increase</t>
  </si>
  <si>
    <t>Market-rate context; actual FD rate depends on tenor/bank</t>
  </si>
  <si>
    <t>F. PORTFOLIO-LEVEL MARKET CORRESPONDENCE — WHAT THE REAL DATA SAYS</t>
  </si>
  <si>
    <t>Planning return</t>
  </si>
  <si>
    <t>Market proxy / series</t>
  </si>
  <si>
    <t>Mapped value ₹L</t>
  </si>
  <si>
    <t>Mapped portfolio weight</t>
  </si>
  <si>
    <t>Real market return</t>
  </si>
  <si>
    <t>Retain the compounding engine while trimming duplicated US growth / semiconductor risk.</t>
  </si>
  <si>
    <t>Weight × proxy return</t>
  </si>
  <si>
    <t>10.0%</t>
  </si>
  <si>
    <t>I. PRACTICAL TRADE SEQUENCE — NOT “SELL EVERYTHING TOMORROW”</t>
  </si>
  <si>
    <t>Add ballast and rebalancing capacity.</t>
  </si>
  <si>
    <t>6.5%</t>
  </si>
  <si>
    <t>Create a small liquidity reserve.</t>
  </si>
  <si>
    <t>5.0%</t>
  </si>
  <si>
    <t>Retain diversification without chasing recent commodity performance.</t>
  </si>
  <si>
    <t>6.0%</t>
  </si>
  <si>
    <t>What we actually do</t>
  </si>
  <si>
    <t>Material effect on goal</t>
  </si>
  <si>
    <t>Remove crypto from the core goal benchmark.</t>
  </si>
  <si>
    <t>0.0%</t>
  </si>
  <si>
    <t>WORK SHOWN: Current = 8.55% p.a. Target = (70%×10%) + (20%×6.5%) + (5%×5%) + (5%×6%) = 8.85% p.a. Model difference = +0.30 pp. 10-year illustration: ₹3.57Cr × 1.0885¹⁰ ≈ ₹8.34Cr versus current-model ₹8.11Cr.</t>
  </si>
  <si>
    <t>Metric</t>
  </si>
  <si>
    <t>Identify low-volatility assets sufficient for the ₹35L obligation.</t>
  </si>
  <si>
    <t>Current</t>
  </si>
  <si>
    <t>Goal 3: immediately reduces the chance that a market drawdown creates a funding problem.</t>
  </si>
  <si>
    <t>Goal target</t>
  </si>
  <si>
    <t>Change</t>
  </si>
  <si>
    <t>5-year illustrative value</t>
  </si>
  <si>
    <t>Stop adding to overlapping themes</t>
  </si>
  <si>
    <t>₹5.38Cr</t>
  </si>
  <si>
    <t>Do not add to semiconductors / concentrated technology while concentration is being assessed.</t>
  </si>
  <si>
    <t>₹5.46Cr</t>
  </si>
  <si>
    <t>+₹7.50L</t>
  </si>
  <si>
    <t>Reduces future drift without unnecessary churn.</t>
  </si>
  <si>
    <t>Illustration only; no flows, constant assumptions.</t>
  </si>
  <si>
    <t>10-year illustrative value</t>
  </si>
  <si>
    <t>Trim the highest-concentration satellites first</t>
  </si>
  <si>
    <t>₹8.11Cr</t>
  </si>
  <si>
    <t>₹8.34Cr</t>
  </si>
  <si>
    <t>Prioritise positions whose economic risk is duplicated elsewhere.</t>
  </si>
  <si>
    <t>+₹22.76L</t>
  </si>
  <si>
    <t>Improves diversification before touching the core.</t>
  </si>
  <si>
    <t>Compounding illustration, not a forecast.</t>
  </si>
  <si>
    <t>Build the stabilising sleeve</t>
  </si>
  <si>
    <t>Increase debt / liquidity toward the strategic range.</t>
  </si>
  <si>
    <t>5. GOAL 2 — RETIREMENT / FINANCIAL INDEPENDENCE</t>
  </si>
  <si>
    <t>Creates dry powder and reduces drawdown sensitivity.</t>
  </si>
  <si>
    <t>Rebalance the residual growth sleeve</t>
  </si>
  <si>
    <t>Retain broad growth exposure rather than replacing it with a pile of new products.</t>
  </si>
  <si>
    <t>Reduce dependence on selling growth assets during a poor market phase. The lower model return is an explicit trade-off for a much larger stabilising sleeve.</t>
  </si>
  <si>
    <t>Keeps long-term compounding engine intact.</t>
  </si>
  <si>
    <t>1M Treasury rate</t>
  </si>
  <si>
    <t>Set review bands</t>
  </si>
  <si>
    <t>Define acceptable allocation ranges and a review cadence.</t>
  </si>
  <si>
    <t>Turns a one-off recommendation into an ongoing process.</t>
  </si>
  <si>
    <t>J. WHAT CHANGES IF THE CLIENT CHOOSES A DIFFERENT GOAL?</t>
  </si>
  <si>
    <t>Reduce growth by ₹56.39L.</t>
  </si>
  <si>
    <t>Add ₹78.79L of high-quality debt.</t>
  </si>
  <si>
    <t>Primary change</t>
  </si>
  <si>
    <t>Why current portfolio differs</t>
  </si>
  <si>
    <t>Material consequence</t>
  </si>
  <si>
    <t>Increase readily accessible liquidity by ₹5.62L.</t>
  </si>
  <si>
    <t>Wealth compounding</t>
  </si>
  <si>
    <t>Keep more growth risk</t>
  </si>
  <si>
    <t>Current portfolio is close in broad growth weight, but concentration needs management.</t>
  </si>
  <si>
    <t>Expected return remains highest of the three case mandates; drawdowns are tolerated.</t>
  </si>
  <si>
    <t>Retain a modest diversifier.</t>
  </si>
  <si>
    <t>Increase stabilising assets</t>
  </si>
  <si>
    <t>Current 71% growth is materially above the illustrative 55% target.</t>
  </si>
  <si>
    <t>Lower expected return, but lower dependence on equity markets at the withdrawal phase.</t>
  </si>
  <si>
    <t>Do not make retirement funding dependent on crypto.</t>
  </si>
  <si>
    <t>Protect liability first</t>
  </si>
  <si>
    <t>The first ₹35L of future need is treated separately from long-term wealth.</t>
  </si>
  <si>
    <t>WORK SHOWN: Target = (55%×10%) + (35%×6.5%) + (5%×5%) + (5%×6%) = 8.33% p.a. Current = 8.55%. Difference = −0.23 pp. Stabilising assets rise from ₹58.39L to ₹142.80L, a +₹84.41L structural change.</t>
  </si>
  <si>
    <t>The client can pursue growth with the residual ₹2.65Cr without putting the known liability at market risk.</t>
  </si>
  <si>
    <t>₹5.32Cr</t>
  </si>
  <si>
    <t>−₹5.53L</t>
  </si>
  <si>
    <t>STEP 11  |  CLIENT MEETING &amp; CONVERSION</t>
  </si>
  <si>
    <t>Price paid in the model for more stability.</t>
  </si>
  <si>
    <t>Debt + cash</t>
  </si>
  <si>
    <t>₹58.39L</t>
  </si>
  <si>
    <t>₹142.80L</t>
  </si>
  <si>
    <t>+₹84.41L</t>
  </si>
  <si>
    <t>Materially lower dependence on growth assets.</t>
  </si>
  <si>
    <t>6. GOAL 3 — ₹35.40L CAPITAL PRESERVATION + FUTURE OUTLAY</t>
  </si>
  <si>
    <t xml:space="preserve"> explain the problem simply, connect it to the goal, and show the value of the proposed approach.</t>
  </si>
  <si>
    <t>Protect the known liability first. At a 6.5% planning rate, approximately ₹27.52L today can grow to ₹35.40L in year four.</t>
  </si>
  <si>
    <t xml:space="preserve">                               60-MINUTE MEETING FLOW</t>
  </si>
  <si>
    <t>Reduce growth by ₹92.09L; retain a long-term growth engine.</t>
  </si>
  <si>
    <t>Build the core liability-protection sleeve.</t>
  </si>
  <si>
    <t>Time</t>
  </si>
  <si>
    <t>Create visible liquidity.</t>
  </si>
  <si>
    <t>Purpose</t>
  </si>
  <si>
    <t>Retain diversification but do not count it as guaranteed liability funding.</t>
  </si>
  <si>
    <t>What the advisor actually does</t>
  </si>
  <si>
    <t>Remove crypto from liability funding.</t>
  </si>
  <si>
    <t>0–5 min</t>
  </si>
  <si>
    <t>WORK SHOWN: ₹35.40L ÷ (1.065)^4 = ₹27.52L. Ring-fence that amount today. Residual capital = ₹3.57Cr − ₹27.52L = ~₹3.29Cr. A 25% fall across the current ₹252.74L growth sleeve would mark ~₹63.19L lower; a 60% crypto fall would cost ~₹11.18L.</t>
  </si>
  <si>
    <t>Set agenda</t>
  </si>
  <si>
    <t>“I’d like to understand what you want the money to do, then show you what your current portfolio is doing well, where I see avoidable risk, and what I would change.”</t>
  </si>
  <si>
    <t>Year 4</t>
  </si>
  <si>
    <t>Known obligation.</t>
  </si>
  <si>
    <t>Present value</t>
  </si>
  <si>
    <t>5–15 min</t>
  </si>
  <si>
    <t>Today</t>
  </si>
  <si>
    <t>₹35.40L ÷ 1.065⁴.</t>
  </si>
  <si>
    <t>Goal discovery</t>
  </si>
  <si>
    <t>After ring-fence</t>
  </si>
  <si>
    <t>Residual capital remains growth capital.</t>
  </si>
  <si>
    <t>Confirm horizon, liquidity, family obligations, risk tolerance and what triggered the conversation.</t>
  </si>
  <si>
    <t>7. RECOMMENDATION SEQUENCE — WHAT HAPPENS FIRST</t>
  </si>
  <si>
    <t>Priority</t>
  </si>
  <si>
    <t>15–25 min</t>
  </si>
  <si>
    <t>Amount / threshold</t>
  </si>
  <si>
    <t>Why first</t>
  </si>
  <si>
    <t>Goal affected</t>
  </si>
  <si>
    <t>Portfolio walkthrough</t>
  </si>
  <si>
    <t>Confirm mandate</t>
  </si>
  <si>
    <t>Goal 1 / 2 / 3</t>
  </si>
  <si>
    <t>Three-goal analysis</t>
  </si>
  <si>
    <t>Risk budget changes materially.</t>
  </si>
  <si>
    <t>Show current allocation and the three biggest economic exposures.</t>
  </si>
  <si>
    <t>All</t>
  </si>
  <si>
    <t>~₹27.52L today</t>
  </si>
  <si>
    <t>₹35.40L ÷ 1.065⁴</t>
  </si>
  <si>
    <t>25–35 min</t>
  </si>
  <si>
    <t>Removes timing risk.</t>
  </si>
  <si>
    <t>Trim overlapping growth</t>
  </si>
  <si>
    <t>Diagnosis</t>
  </si>
  <si>
    <t>₹56.39L–₹92.09L</t>
  </si>
  <si>
    <t>₹252.74L current growth vs targets</t>
  </si>
  <si>
    <t>Reduces duplicated economic exposure.</t>
  </si>
  <si>
    <t>Goals 1–3</t>
  </si>
  <si>
    <t>Build stabilising sleeve</t>
  </si>
  <si>
    <t>Debt + cash to 25–45%</t>
  </si>
  <si>
    <t>Current ₹58.39L</t>
  </si>
  <si>
    <t>Creates liquidity / rebalancing capacity.</t>
  </si>
  <si>
    <t>Explain overlap, concentration and liquidity using rupee impact rather than jargon.</t>
  </si>
  <si>
    <t>Goals 2–3</t>
  </si>
  <si>
    <t>Review crypto separately</t>
  </si>
  <si>
    <t>₹18.63L / 5.22%</t>
  </si>
  <si>
    <t>Excluded from model goal return</t>
  </si>
  <si>
    <t>35–45 min</t>
  </si>
  <si>
    <t>Prevents speculative return becoming required.</t>
  </si>
  <si>
    <t>Rebalance in stages</t>
  </si>
  <si>
    <t>Tax-aware sales / new money</t>
  </si>
  <si>
    <t>Cost basis required</t>
  </si>
  <si>
    <t>Avoids unnecessary churn.</t>
  </si>
  <si>
    <t>Show keep / reduce / ring-fence decisions and explain the trade-offs.</t>
  </si>
  <si>
    <t>45–55 min</t>
  </si>
  <si>
    <t>Approach / solution</t>
  </si>
  <si>
    <t>Explain how a professional portfolio-management process can solve the identified gaps.</t>
  </si>
  <si>
    <t>55–60 min</t>
  </si>
  <si>
    <t>Close</t>
  </si>
  <si>
    <t>Confirm objections, documents required and next action / follow-up date.</t>
  </si>
  <si>
    <t xml:space="preserve">                                  HOW TO EXPLAIN THE THREE BIGGEST FINDINGS</t>
  </si>
  <si>
    <t>Client-friendly explanation</t>
  </si>
  <si>
    <t>“You own several good companies and funds. The issue is not that any one is necessarily bad; it is that several can fall for the same reason. So I want to manage the combined exposure, not judge each line in isolation.”</t>
  </si>
  <si>
    <t>“At roughly 5% it doesn't dominate the portfolio, but a 60% fall would still remove around 3% of the portfolio's value. The question is whether you're comfortable accepting that swing for the role crypto plays.”</t>
  </si>
  <si>
    <t>“If ₹35 lakh is genuinely needed in three to four years, I'd rather protect that amount first. The rest of your capital can continue taking long-term growth risk.”</t>
  </si>
  <si>
    <t xml:space="preserve">                                      OBJECTION HANDLING</t>
  </si>
  <si>
    <t>Likely objection</t>
  </si>
  <si>
    <t>Response</t>
  </si>
  <si>
    <t>“My portfolio has done well. Why change it?”</t>
  </si>
  <si>
    <t>“Performance is one input. We're checking whether the return came with a level of concentration that still fits your future goal.”</t>
  </si>
  <si>
    <t>“Why not just keep everything?”</t>
  </si>
  <si>
    <t>“You can. The reason to change anything is only if we can identify a risk or inefficiency that matters to your objective.”</t>
  </si>
  <si>
    <t>“Why do I need professional management?”</t>
  </si>
  <si>
    <t>“The value is not simply picking a fund. It is maintaining a repeatable process for asset allocation, risk, monitoring, rebalancing and goal alignment.”</t>
  </si>
  <si>
    <t>“Are you saying my existing investments are bad?”</t>
  </si>
  <si>
    <t>“No. We are separating good investments from good portfolio construction. A good asset can still be too large or redundant inside a portfolio.”</t>
  </si>
  <si>
    <t xml:space="preserve">                                       CONVERSION CHECKLIST</t>
  </si>
  <si>
    <t>Client understood the problem</t>
  </si>
  <si>
    <t>Yes / No</t>
  </si>
  <si>
    <t>Client agreed the problem matters</t>
  </si>
  <si>
    <t>Client understands trade-offs</t>
  </si>
  <si>
    <t>Client sees a reason to consider a managed approach</t>
  </si>
  <si>
    <t>Documents required identified</t>
  </si>
  <si>
    <t>Next meeting / action agreed</t>
  </si>
  <si>
    <t>CRM updated</t>
  </si>
  <si>
    <t>NEXT: A CLIENT RELATIONSHIP DOES NOT END AT THE FIRST RECOMMENDATION</t>
  </si>
  <si>
    <t>The client-facing nature of the role means the process continues: follow-ups, portfolio discussions, monitoring and rebalancing. The final sheet turns the case into an operating rhythm.</t>
  </si>
  <si>
    <t>GOAL-SPECIFIC CLIENT PITCHES — SAME PORTFOLIO, THREE DIFFERENT ANSWERS</t>
  </si>
  <si>
    <t>The pitch changes because the definition of success changes. Every number ties back to the portfolio inventory and goal benchmark.</t>
  </si>
  <si>
    <t>“You have ₹3.57 crore and a strong growth engine. I would not dismantle it. I would reduce duplicated US growth and semiconductor exposure, remove crypto from the core benchmark, and add stabilising capital so we can rebalance rather than react.”</t>
  </si>
  <si>
    <t>Current / proposed</t>
  </si>
  <si>
    <t>Signal</t>
  </si>
  <si>
    <t>₹252.74L → ₹249.90L</t>
  </si>
  <si>
    <t>70.8% → 70.0%</t>
  </si>
  <si>
    <t>₹58.39L → ₹89.25L</t>
  </si>
  <si>
    <t>16.35% → 25.0%</t>
  </si>
  <si>
    <t>Model return</t>
  </si>
  <si>
    <t>8.55% → 8.85%</t>
  </si>
  <si>
    <t>+0.30 pp</t>
  </si>
  <si>
    <t>10Y illustration</t>
  </si>
  <si>
    <t>₹8.11Cr → ₹8.34Cr</t>
  </si>
  <si>
    <t>CLOSE</t>
  </si>
  <si>
    <t>“The objective is not to make you conservative. It is to make your growth risk intentional.”</t>
  </si>
  <si>
    <t>“If this money begins supporting your lifestyle in 5–10 years, I want a larger part of the portfolio to be boring on purpose. We move ₹84.41L into debt and cash so a bad equity year does not automatically become a bad retirement year.”</t>
  </si>
  <si>
    <t>₹252.74L → ₹196.35L</t>
  </si>
  <si>
    <t>70.8% → 55.0%</t>
  </si>
  <si>
    <t>₹58.39L → ₹142.80L</t>
  </si>
  <si>
    <t>16.35% → 40.0%</t>
  </si>
  <si>
    <t>8.55% → 8.33%</t>
  </si>
  <si>
    <t>−0.23 pp</t>
  </si>
  <si>
    <t>₹8.11Cr → ₹7.94Cr</t>
  </si>
  <si>
    <t>−₹16.59L</t>
  </si>
  <si>
    <t>“We are consciously giving up some modelled return to buy a larger margin of safety around withdrawals.”</t>
  </si>
  <si>
    <t>GOAL 3 — ₹35.40L FUTURE OUTLAY</t>
  </si>
  <si>
    <t>“If ₹35.40 lakh is genuinely required in year four, I want that money to have a job that does not depend on Bitcoin, semiconductors or the stock market. At 6.5%, about ₹27.52 lakh today can grow to ₹35.40 lakh.”</t>
  </si>
  <si>
    <t>After indicative ring-fence</t>
  </si>
  <si>
    <t>Crypto not counted</t>
  </si>
  <si>
    <t>₹18.63L</t>
  </si>
  <si>
    <t>Excluded from liability funding</t>
  </si>
  <si>
    <t>“Once the liability is protected, the remaining ₹3.29 crore can take long-term risk without the ₹35.40 lakh obligation hanging over every market move.”</t>
  </si>
  <si>
    <t>STEP 12  |  FOLLOW-UP &amp; MONITORING</t>
  </si>
  <si>
    <t>A portfolio recommendation is only useful if the client remains aligned with it as markets and personal circumstances change.</t>
  </si>
  <si>
    <t xml:space="preserve">                              MONITORING DASHBOARD</t>
  </si>
  <si>
    <t>What we watch</t>
  </si>
  <si>
    <t>Cadence</t>
  </si>
  <si>
    <t>Trigger / response</t>
  </si>
  <si>
    <t>Asset allocation drift</t>
  </si>
  <si>
    <t>Compare current weight with strategic range</t>
  </si>
  <si>
    <t>Monthly</t>
  </si>
  <si>
    <t>Rebalance when outside approved band</t>
  </si>
  <si>
    <t>Single-security concentration</t>
  </si>
  <si>
    <t>Top 10 holdings / single-name cap</t>
  </si>
  <si>
    <t>Investigate breach</t>
  </si>
  <si>
    <t>Technology / semiconductor / crypto cluster</t>
  </si>
  <si>
    <t>Review combined exposure</t>
  </si>
  <si>
    <t>Goal bucket vs upcoming cash needs</t>
  </si>
  <si>
    <t>Monthly / on life event</t>
  </si>
  <si>
    <t>Protect short-term liabilities</t>
  </si>
  <si>
    <t>Portfolio performance</t>
  </si>
  <si>
    <t>Absolute + benchmark-relative</t>
  </si>
  <si>
    <t>Quarterly</t>
  </si>
  <si>
    <t>Explain drivers, not just return</t>
  </si>
  <si>
    <t>Goal progress</t>
  </si>
  <si>
    <t>Corpus vs required path</t>
  </si>
  <si>
    <t>Update savings / allocation if gap emerges</t>
  </si>
  <si>
    <t>Client circumstances</t>
  </si>
  <si>
    <t>Income, business, family, liabilities</t>
  </si>
  <si>
    <t>At least annually / on event</t>
  </si>
  <si>
    <t>Reassess suitability</t>
  </si>
  <si>
    <t>Tax / implementation</t>
  </si>
  <si>
    <t>Realised gains and upcoming changes</t>
  </si>
  <si>
    <t>Before rebalance</t>
  </si>
  <si>
    <t>Sequence trades efficiently</t>
  </si>
  <si>
    <t xml:space="preserve">                             EXAMPLE MONTHLY REVIEW</t>
  </si>
  <si>
    <t>Area</t>
  </si>
  <si>
    <t>Current case read</t>
  </si>
  <si>
    <t>Allocation</t>
  </si>
  <si>
    <t>Equity / growth</t>
  </si>
  <si>
    <t>High growth exposure</t>
  </si>
  <si>
    <t>Goal-dependent</t>
  </si>
  <si>
    <t>Technology / semiconductors</t>
  </si>
  <si>
    <t>Material overlap remains</t>
  </si>
  <si>
    <t>If cluster rises materially, stop adding and consider trim.</t>
  </si>
  <si>
    <t>Concentration watch</t>
  </si>
  <si>
    <t>~5.3%</t>
  </si>
  <si>
    <t>Acceptable only if explicitly within mandate.</t>
  </si>
  <si>
    <t>Satellite cap</t>
  </si>
  <si>
    <t>Debt + FD + liquid fund</t>
  </si>
  <si>
    <t>Compare with ₹35L goal requirement.</t>
  </si>
  <si>
    <t>Protect if Goal 3</t>
  </si>
  <si>
    <t>Performance</t>
  </si>
  <si>
    <t>Review return vs appropriate benchmark</t>
  </si>
  <si>
    <t>Explain whether excess return came from intended risk.</t>
  </si>
  <si>
    <t xml:space="preserve">                                    WHEN THE CLIENT SHOULD HEAR FROM US</t>
  </si>
  <si>
    <t>Trigger</t>
  </si>
  <si>
    <t>Advisor response</t>
  </si>
  <si>
    <t>Major market drawdown</t>
  </si>
  <si>
    <t>Explain portfolio impact and whether strategic allocation remains intact; avoid emotional reaction.</t>
  </si>
  <si>
    <t>Goal changes</t>
  </si>
  <si>
    <t>Re-run the goal analysis. A new house, education payment, retirement date or business event can change the correct risk level.</t>
  </si>
  <si>
    <t>Large cash inflow</t>
  </si>
  <si>
    <t>Decide whether to invest immediately, stage deployment or fund a known liability.</t>
  </si>
  <si>
    <t>Large portfolio drift</t>
  </si>
  <si>
    <t>Review whether drift is accidental or reflects a deliberate decision.</t>
  </si>
  <si>
    <t>Quarterly review</t>
  </si>
  <si>
    <t>Reconcile performance, benchmark, risks and goal progress.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</si>
</sst>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0.0"/>
  </numFmts>
  <fonts count="41">
    <font>
      <sz val="11.0"/>
      <color theme="1"/>
      <name val="Calibri"/>
      <scheme val="minor"/>
    </font>
    <font>
      <b/>
      <sz val="20.0"/>
      <color rgb="FFFFFFFF"/>
      <name val="Play"/>
    </font>
    <font/>
    <font>
      <i/>
      <sz val="10.0"/>
      <color rgb="FF666666"/>
      <name val="Aptos"/>
    </font>
    <font>
      <b/>
      <sz val="9.0"/>
      <color rgb="FF111111"/>
      <name val="Aptos"/>
    </font>
    <font>
      <b/>
      <sz val="12.0"/>
      <color rgb="FFFFFFFF"/>
      <name val="Aptos"/>
    </font>
    <font>
      <b/>
      <sz val="9.0"/>
      <color rgb="FF17324D"/>
      <name val="Aptos"/>
    </font>
    <font>
      <sz val="9.0"/>
      <color rgb="FF111111"/>
      <name val="Aptos"/>
    </font>
    <font>
      <u/>
      <sz val="12.0"/>
      <color theme="10"/>
      <name val="Calibri"/>
    </font>
    <font>
      <b/>
      <sz val="11.0"/>
      <color rgb="FFF4B183"/>
      <name val="Aptos"/>
    </font>
    <font>
      <b/>
      <sz val="9.0"/>
      <color rgb="FFBF9000"/>
      <name val="Aptos"/>
    </font>
    <font>
      <b/>
      <color rgb="FF17324D"/>
      <name val="Aptos"/>
    </font>
    <font>
      <sz val="11.0"/>
      <color theme="1"/>
      <name val="Calibri"/>
    </font>
    <font>
      <b/>
      <sz val="12.0"/>
      <color rgb="FFFFFFFF"/>
      <name val="Arial"/>
    </font>
    <font>
      <sz val="17.0"/>
      <color theme="1"/>
      <name val="Calibri"/>
      <scheme val="minor"/>
    </font>
    <font>
      <color theme="1"/>
      <name val="Calibri"/>
      <scheme val="minor"/>
    </font>
    <font>
      <u/>
      <sz val="12.0"/>
      <color theme="10"/>
      <name val="Calibri"/>
    </font>
    <font>
      <b/>
      <sz val="11.0"/>
      <color rgb="FF70AD47"/>
      <name val="Aptos"/>
    </font>
    <font>
      <b/>
      <sz val="11.0"/>
      <color rgb="FF8064A2"/>
      <name val="Aptos"/>
    </font>
    <font>
      <i/>
      <sz val="20.0"/>
      <color rgb="FF666666"/>
      <name val="Arial"/>
    </font>
    <font>
      <b/>
      <color rgb="FF17324D"/>
      <name val="Calibri"/>
      <scheme val="minor"/>
    </font>
    <font>
      <b/>
      <sz val="8.0"/>
      <color rgb="FF666666"/>
      <name val="Aptos"/>
    </font>
    <font>
      <b/>
      <sz val="22.0"/>
      <color rgb="FFFFFFFF"/>
      <name val="Play"/>
    </font>
    <font>
      <i/>
      <sz val="11.0"/>
      <color rgb="FF666666"/>
      <name val="Aptos"/>
    </font>
    <font>
      <b/>
      <sz val="13.0"/>
      <color rgb="FFFFFFFF"/>
      <name val="Aptos"/>
    </font>
    <font>
      <b/>
      <sz val="16.0"/>
      <color rgb="FF70AD47"/>
      <name val="Play"/>
    </font>
    <font>
      <b/>
      <sz val="10.0"/>
      <color rgb="FFFFFFFF"/>
      <name val="Aptos"/>
    </font>
    <font>
      <sz val="10.0"/>
      <color rgb="FF222222"/>
      <name val="Aptos"/>
    </font>
    <font>
      <b/>
      <sz val="16.0"/>
      <color rgb="FF17324D"/>
      <name val="Play"/>
    </font>
    <font>
      <b/>
      <sz val="16.0"/>
      <color rgb="FFF4B183"/>
      <name val="Play"/>
    </font>
    <font>
      <b/>
      <sz val="16.0"/>
      <color rgb="FFC00000"/>
      <name val="Play"/>
    </font>
    <font>
      <b/>
      <sz val="16.0"/>
      <color rgb="FF8064A2"/>
      <name val="Play"/>
    </font>
    <font>
      <u/>
      <sz val="12.0"/>
      <color theme="10"/>
      <name val="Calibri"/>
    </font>
    <font>
      <b/>
      <sz val="10.0"/>
      <color rgb="FF70AD47"/>
      <name val="Aptos"/>
    </font>
    <font>
      <b/>
      <sz val="11.0"/>
      <color rgb="FF2F75B5"/>
      <name val="Aptos"/>
    </font>
    <font>
      <sz val="10.0"/>
      <color rgb="FF222222"/>
      <name val="Arial"/>
    </font>
    <font>
      <sz val="19.0"/>
      <color rgb="FFFFFFFF"/>
      <name val="Calibri"/>
    </font>
    <font>
      <sz val="18.0"/>
      <color theme="0"/>
      <name val="Calibri"/>
    </font>
    <font>
      <sz val="21.0"/>
      <color rgb="FFFFFFFF"/>
      <name val="Calibri"/>
    </font>
    <font>
      <i/>
      <sz val="13.0"/>
      <color rgb="FF666666"/>
      <name val="Arial"/>
    </font>
    <font>
      <sz val="19.0"/>
      <color theme="0"/>
      <name val="Calibri"/>
    </font>
  </fonts>
  <fills count="23">
    <fill>
      <patternFill patternType="none"/>
    </fill>
    <fill>
      <patternFill patternType="lightGray"/>
    </fill>
    <fill>
      <patternFill patternType="solid">
        <fgColor rgb="FF17324D"/>
        <bgColor rgb="FF17324D"/>
      </patternFill>
    </fill>
    <fill>
      <patternFill patternType="solid">
        <fgColor rgb="FFFCE4D6"/>
        <bgColor rgb="FFFCE4D6"/>
      </patternFill>
    </fill>
    <fill>
      <patternFill patternType="solid">
        <fgColor rgb="FF2F75B5"/>
        <bgColor rgb="FF2F75B5"/>
      </patternFill>
    </fill>
    <fill>
      <patternFill patternType="solid">
        <fgColor rgb="FFF2F2F2"/>
        <bgColor rgb="FFF2F2F2"/>
      </patternFill>
    </fill>
    <fill>
      <patternFill patternType="solid">
        <fgColor rgb="FF00FFFF"/>
        <bgColor rgb="FF00FFFF"/>
      </patternFill>
    </fill>
    <fill>
      <patternFill patternType="solid">
        <fgColor rgb="FFE2F0D9"/>
        <bgColor rgb="FFE2F0D9"/>
      </patternFill>
    </fill>
    <fill>
      <patternFill patternType="solid">
        <fgColor rgb="FFE4DFEC"/>
        <bgColor rgb="FFE4DFEC"/>
      </patternFill>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7365D"/>
        <bgColor rgb="FF17365D"/>
      </patternFill>
    </fill>
    <fill>
      <patternFill patternType="solid">
        <fgColor rgb="FFD9E1F2"/>
        <bgColor rgb="FFD9E1F2"/>
      </patternFill>
    </fill>
    <fill>
      <patternFill patternType="solid">
        <fgColor rgb="FFF4CCCC"/>
        <bgColor rgb="FFF4CCCC"/>
      </patternFill>
    </fill>
    <fill>
      <patternFill patternType="solid">
        <fgColor rgb="FFA64D79"/>
        <bgColor rgb="FFA64D79"/>
      </patternFill>
    </fill>
    <fill>
      <patternFill patternType="solid">
        <fgColor rgb="FF008C95"/>
        <bgColor rgb="FF008C95"/>
      </patternFill>
    </fill>
    <fill>
      <patternFill patternType="solid">
        <fgColor rgb="FFF8FBFD"/>
        <bgColor rgb="FFF8FBFD"/>
      </patternFill>
    </fill>
    <fill>
      <patternFill patternType="solid">
        <fgColor rgb="FFDDEBF7"/>
        <bgColor rgb="FFDDEBF7"/>
      </patternFill>
    </fill>
    <fill>
      <patternFill patternType="solid">
        <fgColor rgb="FF70AD47"/>
        <bgColor rgb="FF70AD47"/>
      </patternFill>
    </fill>
    <fill>
      <patternFill patternType="solid">
        <fgColor rgb="FF1F4E78"/>
        <bgColor rgb="FF1F4E78"/>
      </patternFill>
    </fill>
    <fill>
      <patternFill patternType="solid">
        <fgColor theme="6"/>
        <bgColor theme="6"/>
      </patternFill>
    </fill>
    <fill>
      <patternFill patternType="solid">
        <fgColor rgb="FF93C47D"/>
        <bgColor rgb="FF93C47D"/>
      </patternFill>
    </fill>
  </fills>
  <borders count="10">
    <border/>
    <border>
      <left/>
      <top/>
      <bottom/>
    </border>
    <border>
      <top/>
      <bottom/>
    </border>
    <border>
      <right/>
      <top/>
      <bottom/>
    </border>
    <border>
      <left style="thin">
        <color rgb="FFD9E1F2"/>
      </left>
      <right style="thin">
        <color rgb="FFD9E1F2"/>
      </right>
      <top style="thin">
        <color rgb="FFD9E1F2"/>
      </top>
      <bottom style="thin">
        <color rgb="FFD9E1F2"/>
      </bottom>
    </border>
    <border>
      <left style="thin">
        <color rgb="FFD9E1F2"/>
      </left>
      <top style="thin">
        <color rgb="FFD9E1F2"/>
      </top>
      <bottom style="thin">
        <color rgb="FFD9E1F2"/>
      </bottom>
    </border>
    <border>
      <top style="thin">
        <color rgb="FFD9E1F2"/>
      </top>
      <bottom style="thin">
        <color rgb="FFD9E1F2"/>
      </bottom>
    </border>
    <border>
      <right style="thin">
        <color rgb="FFD9E1F2"/>
      </right>
      <top style="thin">
        <color rgb="FFD9E1F2"/>
      </top>
      <bottom style="thin">
        <color rgb="FFD9E1F2"/>
      </bottom>
    </border>
    <border>
      <bottom style="thin">
        <color rgb="FFD9E1F2"/>
      </bottom>
    </border>
    <border>
      <left/>
      <right/>
      <top/>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2" numFmtId="0" xfId="0" applyBorder="1" applyFont="1"/>
    <xf borderId="0" fillId="0" fontId="3" numFmtId="0" xfId="0" applyAlignment="1" applyFont="1">
      <alignment horizontal="left" shrinkToFit="0" vertical="top" wrapText="1"/>
    </xf>
    <xf borderId="1" fillId="3" fontId="4" numFmtId="0" xfId="0" applyAlignment="1" applyBorder="1" applyFill="1" applyFont="1">
      <alignment horizontal="left" shrinkToFit="0" vertical="top" wrapText="1"/>
    </xf>
    <xf borderId="1" fillId="4" fontId="5" numFmtId="0" xfId="0" applyAlignment="1" applyBorder="1" applyFill="1" applyFont="1">
      <alignment horizontal="left" shrinkToFit="0" vertical="top" wrapText="1"/>
    </xf>
    <xf borderId="4" fillId="5" fontId="6" numFmtId="0" xfId="0" applyAlignment="1" applyBorder="1" applyFill="1" applyFont="1">
      <alignment horizontal="left" readingOrder="0" shrinkToFit="0" vertical="top" wrapText="1"/>
    </xf>
    <xf borderId="4" fillId="0" fontId="7" numFmtId="0" xfId="0" applyAlignment="1" applyBorder="1" applyFont="1">
      <alignment horizontal="left" shrinkToFit="0" vertical="top" wrapText="1"/>
    </xf>
    <xf borderId="0" fillId="0" fontId="8" numFmtId="0" xfId="0" applyAlignment="1" applyFont="1">
      <alignment shrinkToFit="0" vertical="center" wrapText="0"/>
    </xf>
    <xf borderId="1" fillId="3" fontId="9" numFmtId="0" xfId="0" applyAlignment="1" applyBorder="1" applyFill="1" applyFont="1">
      <alignment horizontal="left" shrinkToFit="0" vertical="top" wrapText="1"/>
    </xf>
    <xf borderId="5" fillId="0" fontId="7" numFmtId="0" xfId="0" applyAlignment="1" applyBorder="1" applyFont="1">
      <alignment horizontal="left" shrinkToFit="0" vertical="top" wrapText="1"/>
    </xf>
    <xf borderId="6" fillId="0" fontId="2" numFmtId="0" xfId="0" applyBorder="1" applyFont="1"/>
    <xf borderId="7" fillId="0" fontId="2" numFmtId="0" xfId="0" applyBorder="1" applyFont="1"/>
    <xf borderId="1" fillId="3" fontId="10" numFmtId="0" xfId="0" applyAlignment="1" applyBorder="1" applyFill="1" applyFont="1">
      <alignment horizontal="left" shrinkToFit="0" vertical="top" wrapText="1"/>
    </xf>
    <xf borderId="4" fillId="5" fontId="11" numFmtId="0" xfId="0" applyAlignment="1" applyBorder="1" applyFill="1" applyFont="1">
      <alignment horizontal="left" shrinkToFit="0" vertical="top" wrapText="1"/>
    </xf>
    <xf borderId="4" fillId="0" fontId="12" numFmtId="0" xfId="0" applyAlignment="1" applyBorder="1" applyFont="1">
      <alignment horizontal="left" readingOrder="0" shrinkToFit="0" vertical="top" wrapText="1"/>
    </xf>
    <xf borderId="4" fillId="0" fontId="12" numFmtId="0" xfId="0" applyAlignment="1" applyBorder="1" applyFont="1">
      <alignment horizontal="left" shrinkToFit="0" vertical="top" wrapText="1"/>
    </xf>
    <xf borderId="1" fillId="4" fontId="13" numFmtId="0" xfId="0" applyAlignment="1" applyBorder="1" applyFill="1" applyFont="1">
      <alignment horizontal="left" readingOrder="0" shrinkToFit="0" vertical="top" wrapText="1"/>
    </xf>
    <xf borderId="0" fillId="6" fontId="14" numFmtId="0" xfId="0" applyAlignment="1" applyFill="1" applyFont="1">
      <alignment readingOrder="0"/>
    </xf>
    <xf borderId="0" fillId="0" fontId="15" numFmtId="0" xfId="0" applyFont="1"/>
    <xf borderId="0" fillId="0" fontId="16" numFmtId="0" xfId="0" applyFont="1"/>
    <xf borderId="0" fillId="0" fontId="15" numFmtId="0" xfId="0" applyAlignment="1" applyFont="1">
      <alignment readingOrder="0"/>
    </xf>
    <xf borderId="0" fillId="0" fontId="12" numFmtId="0" xfId="0" applyFont="1"/>
    <xf borderId="1" fillId="7" fontId="17" numFmtId="0" xfId="0" applyAlignment="1" applyBorder="1" applyFill="1" applyFont="1">
      <alignment horizontal="left" shrinkToFit="0" vertical="top" wrapText="1"/>
    </xf>
    <xf borderId="4" fillId="0" fontId="7" numFmtId="164" xfId="0" applyAlignment="1" applyBorder="1" applyFont="1" applyNumberFormat="1">
      <alignment horizontal="left" shrinkToFit="0" vertical="top" wrapText="1"/>
    </xf>
    <xf borderId="1" fillId="8" fontId="18" numFmtId="0" xfId="0" applyAlignment="1" applyBorder="1" applyFill="1" applyFont="1">
      <alignment horizontal="left" shrinkToFit="0" vertical="top" wrapText="1"/>
    </xf>
    <xf borderId="4" fillId="0" fontId="7" numFmtId="165" xfId="0" applyAlignment="1" applyBorder="1" applyFont="1" applyNumberFormat="1">
      <alignment horizontal="left" shrinkToFit="0" vertical="top" wrapText="1"/>
    </xf>
    <xf borderId="0" fillId="0" fontId="19" numFmtId="0" xfId="0" applyAlignment="1" applyFont="1">
      <alignment horizontal="left" readingOrder="0" shrinkToFit="0" vertical="top" wrapText="1"/>
    </xf>
    <xf borderId="4" fillId="9" fontId="6" numFmtId="0" xfId="0" applyAlignment="1" applyBorder="1" applyFill="1" applyFont="1">
      <alignment horizontal="left" shrinkToFit="0" vertical="top" wrapText="1"/>
    </xf>
    <xf borderId="4" fillId="7" fontId="20" numFmtId="0" xfId="0" applyAlignment="1" applyBorder="1" applyFill="1" applyFont="1">
      <alignment horizontal="left" shrinkToFit="0" vertical="top" wrapText="1"/>
    </xf>
    <xf borderId="4" fillId="10" fontId="7" numFmtId="0" xfId="0" applyAlignment="1" applyBorder="1" applyFill="1" applyFont="1">
      <alignment horizontal="left" shrinkToFit="0" vertical="top" wrapText="1"/>
    </xf>
    <xf borderId="4" fillId="10" fontId="7" numFmtId="164" xfId="0" applyAlignment="1" applyBorder="1" applyFill="1" applyFont="1" applyNumberFormat="1">
      <alignment horizontal="left" shrinkToFit="0" vertical="top" wrapText="1"/>
    </xf>
    <xf borderId="4" fillId="7" fontId="12" numFmtId="164" xfId="0" applyAlignment="1" applyBorder="1" applyFill="1" applyFont="1" applyNumberFormat="1">
      <alignment horizontal="left" shrinkToFit="0" vertical="top" wrapText="1"/>
    </xf>
    <xf borderId="4" fillId="10" fontId="7" numFmtId="165" xfId="0" applyAlignment="1" applyBorder="1" applyFill="1" applyFont="1" applyNumberFormat="1">
      <alignment horizontal="left" shrinkToFit="0" vertical="top" wrapText="1"/>
    </xf>
    <xf borderId="4" fillId="7" fontId="12" numFmtId="165" xfId="0" applyAlignment="1" applyBorder="1" applyFill="1" applyFont="1" applyNumberFormat="1">
      <alignment horizontal="left" shrinkToFit="0" vertical="top" wrapText="1"/>
    </xf>
    <xf borderId="4" fillId="11" fontId="7" numFmtId="0" xfId="0" applyAlignment="1" applyBorder="1" applyFill="1" applyFont="1">
      <alignment horizontal="left" shrinkToFit="0" vertical="top" wrapText="1"/>
    </xf>
    <xf borderId="4" fillId="7" fontId="12" numFmtId="0" xfId="0" applyBorder="1" applyFill="1" applyFont="1"/>
    <xf borderId="4" fillId="11" fontId="7" numFmtId="164" xfId="0" applyAlignment="1" applyBorder="1" applyFill="1" applyFont="1" applyNumberFormat="1">
      <alignment horizontal="left" shrinkToFit="0" vertical="top" wrapText="1"/>
    </xf>
    <xf borderId="4" fillId="11" fontId="7" numFmtId="165" xfId="0" applyAlignment="1" applyBorder="1" applyFill="1" applyFont="1" applyNumberFormat="1">
      <alignment horizontal="left" shrinkToFit="0" vertical="top" wrapText="1"/>
    </xf>
    <xf borderId="5" fillId="7" fontId="21" numFmtId="0" xfId="0" applyAlignment="1" applyBorder="1" applyFill="1" applyFont="1">
      <alignment horizontal="center" shrinkToFit="0" vertical="top" wrapText="1"/>
    </xf>
    <xf borderId="1" fillId="12" fontId="22" numFmtId="0" xfId="0" applyAlignment="1" applyBorder="1" applyFill="1" applyFont="1">
      <alignment horizontal="left" shrinkToFit="0" vertical="top" wrapText="1"/>
    </xf>
    <xf borderId="5" fillId="13" fontId="21" numFmtId="0" xfId="0" applyAlignment="1" applyBorder="1" applyFill="1" applyFont="1">
      <alignment horizontal="center" shrinkToFit="0" vertical="top" wrapText="1"/>
    </xf>
    <xf borderId="5" fillId="3" fontId="21" numFmtId="0" xfId="0" applyAlignment="1" applyBorder="1" applyFill="1" applyFont="1">
      <alignment horizontal="center" shrinkToFit="0" vertical="top" wrapText="1"/>
    </xf>
    <xf borderId="0" fillId="0" fontId="23" numFmtId="0" xfId="0" applyAlignment="1" applyFont="1">
      <alignment horizontal="left" shrinkToFit="0" vertical="top" wrapText="1"/>
    </xf>
    <xf borderId="5" fillId="14" fontId="21" numFmtId="0" xfId="0" applyAlignment="1" applyBorder="1" applyFill="1" applyFont="1">
      <alignment horizontal="center" shrinkToFit="0" vertical="top" wrapText="1"/>
    </xf>
    <xf borderId="5" fillId="15" fontId="13" numFmtId="0" xfId="0" applyAlignment="1" applyBorder="1" applyFill="1" applyFont="1">
      <alignment horizontal="left" readingOrder="0" shrinkToFit="0" vertical="top" wrapText="1"/>
    </xf>
    <xf borderId="5" fillId="8" fontId="21" numFmtId="0" xfId="0" applyAlignment="1" applyBorder="1" applyFill="1" applyFont="1">
      <alignment horizontal="center" shrinkToFit="0" vertical="top" wrapText="1"/>
    </xf>
    <xf borderId="6" fillId="10" fontId="2" numFmtId="0" xfId="0" applyBorder="1" applyFill="1" applyFont="1"/>
    <xf borderId="1" fillId="16" fontId="24" numFmtId="0" xfId="0" applyAlignment="1" applyBorder="1" applyFill="1" applyFont="1">
      <alignment horizontal="left" shrinkToFit="0" vertical="top" wrapText="1"/>
    </xf>
    <xf borderId="5" fillId="7" fontId="25" numFmtId="165" xfId="0" applyAlignment="1" applyBorder="1" applyFill="1" applyFont="1" applyNumberFormat="1">
      <alignment horizontal="center" shrinkToFit="0" vertical="top" wrapText="1"/>
    </xf>
    <xf borderId="8" fillId="4" fontId="26" numFmtId="0" xfId="0" applyAlignment="1" applyBorder="1" applyFill="1" applyFont="1">
      <alignment horizontal="left" shrinkToFit="0" vertical="top" wrapText="1"/>
    </xf>
    <xf borderId="4" fillId="11" fontId="6" numFmtId="0" xfId="0" applyAlignment="1" applyBorder="1" applyFill="1" applyFont="1">
      <alignment horizontal="left" shrinkToFit="0" vertical="top" wrapText="1"/>
    </xf>
    <xf borderId="4" fillId="11" fontId="6" numFmtId="164" xfId="0" applyAlignment="1" applyBorder="1" applyFill="1" applyFont="1" applyNumberFormat="1">
      <alignment horizontal="left" shrinkToFit="0" vertical="top" wrapText="1"/>
    </xf>
    <xf borderId="8" fillId="0" fontId="27" numFmtId="0" xfId="0" applyAlignment="1" applyBorder="1" applyFont="1">
      <alignment horizontal="left" shrinkToFit="0" vertical="top" wrapText="1"/>
    </xf>
    <xf borderId="5" fillId="13" fontId="28" numFmtId="165" xfId="0" applyAlignment="1" applyBorder="1" applyFill="1" applyFont="1" applyNumberFormat="1">
      <alignment horizontal="center" shrinkToFit="0" vertical="top" wrapText="1"/>
    </xf>
    <xf borderId="4" fillId="0" fontId="7" numFmtId="0" xfId="0" applyAlignment="1" applyBorder="1" applyFont="1">
      <alignment horizontal="left" shrinkToFit="0" vertical="top" wrapText="1"/>
    </xf>
    <xf borderId="8" fillId="17" fontId="27" numFmtId="0" xfId="0" applyAlignment="1" applyBorder="1" applyFill="1" applyFont="1">
      <alignment horizontal="left" shrinkToFit="0" vertical="top" wrapText="1"/>
    </xf>
    <xf borderId="5" fillId="3" fontId="29" numFmtId="165" xfId="0" applyAlignment="1" applyBorder="1" applyFill="1" applyFont="1" applyNumberFormat="1">
      <alignment horizontal="center" shrinkToFit="0" vertical="top" wrapText="1"/>
    </xf>
    <xf borderId="5" fillId="14" fontId="30" numFmtId="165" xfId="0" applyAlignment="1" applyBorder="1" applyFill="1" applyFont="1" applyNumberFormat="1">
      <alignment horizontal="center" shrinkToFit="0" vertical="top" wrapText="1"/>
    </xf>
    <xf borderId="5" fillId="8" fontId="31" numFmtId="165" xfId="0" applyAlignment="1" applyBorder="1" applyFill="1" applyFont="1" applyNumberFormat="1">
      <alignment horizontal="center" shrinkToFit="0" vertical="top" wrapText="1"/>
    </xf>
    <xf borderId="0" fillId="0" fontId="32" numFmtId="0" xfId="0" applyAlignment="1" applyFont="1">
      <alignment horizontal="left" shrinkToFit="0" vertical="top" wrapText="1"/>
    </xf>
    <xf borderId="4" fillId="0" fontId="7" numFmtId="9" xfId="0" applyAlignment="1" applyBorder="1" applyFont="1" applyNumberFormat="1">
      <alignment horizontal="left" shrinkToFit="0" vertical="top" wrapText="1"/>
    </xf>
    <xf borderId="8" fillId="17" fontId="27" numFmtId="4" xfId="0" applyAlignment="1" applyBorder="1" applyFill="1" applyFont="1" applyNumberFormat="1">
      <alignment horizontal="left" shrinkToFit="0" vertical="top" wrapText="1"/>
    </xf>
    <xf borderId="8" fillId="17" fontId="27" numFmtId="165" xfId="0" applyAlignment="1" applyBorder="1" applyFill="1" applyFont="1" applyNumberFormat="1">
      <alignment horizontal="left" shrinkToFit="0" vertical="top" wrapText="1"/>
    </xf>
    <xf borderId="8" fillId="0" fontId="27" numFmtId="4" xfId="0" applyAlignment="1" applyBorder="1" applyFont="1" applyNumberFormat="1">
      <alignment horizontal="left" shrinkToFit="0" vertical="top" wrapText="1"/>
    </xf>
    <xf borderId="8" fillId="0" fontId="27" numFmtId="165" xfId="0" applyAlignment="1" applyBorder="1" applyFont="1" applyNumberFormat="1">
      <alignment horizontal="left" shrinkToFit="0" vertical="top" wrapText="1"/>
    </xf>
    <xf borderId="8" fillId="17" fontId="27" numFmtId="166" xfId="0" applyAlignment="1" applyBorder="1" applyFill="1" applyFont="1" applyNumberFormat="1">
      <alignment horizontal="left" shrinkToFit="0" vertical="top" wrapText="1"/>
    </xf>
    <xf borderId="8" fillId="0" fontId="27" numFmtId="166" xfId="0" applyAlignment="1" applyBorder="1" applyFont="1" applyNumberFormat="1">
      <alignment horizontal="left" shrinkToFit="0" vertical="top" wrapText="1"/>
    </xf>
    <xf borderId="8" fillId="0" fontId="27" numFmtId="2" xfId="0" applyAlignment="1" applyBorder="1" applyFont="1" applyNumberFormat="1">
      <alignment horizontal="left" shrinkToFit="0" vertical="top" wrapText="1"/>
    </xf>
    <xf borderId="1" fillId="7" fontId="33" numFmtId="0" xfId="0" applyAlignment="1" applyBorder="1" applyFill="1" applyFont="1">
      <alignment horizontal="left" shrinkToFit="0" vertical="top" wrapText="1"/>
    </xf>
    <xf borderId="8" fillId="17" fontId="27" numFmtId="2" xfId="0" applyAlignment="1" applyBorder="1" applyFill="1" applyFont="1" applyNumberFormat="1">
      <alignment horizontal="left" shrinkToFit="0" vertical="top" wrapText="1"/>
    </xf>
    <xf borderId="9" fillId="7" fontId="17" numFmtId="0" xfId="0" applyAlignment="1" applyBorder="1" applyFill="1" applyFont="1">
      <alignment horizontal="left" shrinkToFit="0" vertical="top" wrapText="1"/>
    </xf>
    <xf borderId="1" fillId="7" fontId="27" numFmtId="0" xfId="0" applyAlignment="1" applyBorder="1" applyFill="1" applyFont="1">
      <alignment horizontal="left" shrinkToFit="0" vertical="top" wrapText="1"/>
    </xf>
    <xf borderId="9" fillId="7" fontId="27" numFmtId="0" xfId="0" applyAlignment="1" applyBorder="1" applyFill="1" applyFont="1">
      <alignment horizontal="left" shrinkToFit="0" vertical="top" wrapText="1"/>
    </xf>
    <xf borderId="1" fillId="18" fontId="34" numFmtId="0" xfId="0" applyAlignment="1" applyBorder="1" applyFill="1" applyFont="1">
      <alignment horizontal="left" shrinkToFit="0" vertical="top" wrapText="1"/>
    </xf>
    <xf borderId="1" fillId="18" fontId="35" numFmtId="0" xfId="0" applyAlignment="1" applyBorder="1" applyFill="1" applyFont="1">
      <alignment horizontal="left" readingOrder="0" shrinkToFit="0" vertical="top" wrapText="1"/>
    </xf>
    <xf borderId="0" fillId="19" fontId="36" numFmtId="0" xfId="0" applyAlignment="1" applyFill="1" applyFont="1">
      <alignment horizontal="left" readingOrder="0" shrinkToFit="0" vertical="top" wrapText="1"/>
    </xf>
    <xf borderId="0" fillId="0" fontId="12" numFmtId="0" xfId="0" applyAlignment="1" applyFont="1">
      <alignment horizontal="left" shrinkToFit="0" vertical="top" wrapText="1"/>
    </xf>
    <xf borderId="9" fillId="20" fontId="26" numFmtId="0" xfId="0" applyAlignment="1" applyBorder="1" applyFill="1" applyFont="1">
      <alignment horizontal="left" shrinkToFit="0" vertical="top" wrapText="1"/>
    </xf>
    <xf borderId="8" fillId="0" fontId="27" numFmtId="10" xfId="0" applyAlignment="1" applyBorder="1" applyFont="1" applyNumberFormat="1">
      <alignment horizontal="left" shrinkToFit="0" vertical="top" wrapText="1"/>
    </xf>
    <xf borderId="8" fillId="17" fontId="27" numFmtId="10" xfId="0" applyAlignment="1" applyBorder="1" applyFill="1" applyFont="1" applyNumberFormat="1">
      <alignment horizontal="left" shrinkToFit="0" vertical="top" wrapText="1"/>
    </xf>
    <xf borderId="8" fillId="0" fontId="27" numFmtId="10" xfId="0" applyAlignment="1" applyBorder="1" applyFont="1" applyNumberFormat="1">
      <alignment shrinkToFit="0" vertical="top" wrapText="1"/>
    </xf>
    <xf borderId="0" fillId="21" fontId="37" numFmtId="0" xfId="0" applyAlignment="1" applyFill="1" applyFont="1">
      <alignment horizontal="left" readingOrder="0" shrinkToFit="0" vertical="top" wrapText="1"/>
    </xf>
    <xf borderId="8" fillId="17" fontId="27" numFmtId="10" xfId="0" applyAlignment="1" applyBorder="1" applyFill="1" applyFont="1" applyNumberFormat="1">
      <alignment shrinkToFit="0" vertical="top" wrapText="1"/>
    </xf>
    <xf borderId="0" fillId="19" fontId="38" numFmtId="0" xfId="0" applyAlignment="1" applyFill="1" applyFont="1">
      <alignment horizontal="left" readingOrder="0" shrinkToFit="0" vertical="top" wrapText="1"/>
    </xf>
    <xf borderId="0" fillId="14" fontId="39" numFmtId="0" xfId="0" applyAlignment="1" applyFill="1" applyFont="1">
      <alignment horizontal="left" readingOrder="0" shrinkToFit="0" vertical="top" wrapText="1"/>
    </xf>
    <xf borderId="0" fillId="22" fontId="40" numFmtId="0" xfId="0" applyAlignment="1" applyFill="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1">
    <tableStyle count="4" pivot="0" name="01_CLIENT_FILE-style">
      <tableStyleElement dxfId="1" type="headerRow"/>
      <tableStyleElement dxfId="2" type="firstRowStripe"/>
      <tableStyleElement dxfId="3" type="secondRowStripe"/>
      <tableStyleElement dxfId="4" size="0" type="wholeTable"/>
    </tableStyle>
    <tableStyle count="4" pivot="0" name="01_CLIENT_FILE-style 2">
      <tableStyleElement dxfId="1" type="headerRow"/>
      <tableStyleElement dxfId="2" type="firstRowStripe"/>
      <tableStyleElement dxfId="3" type="secondRowStripe"/>
      <tableStyleElement dxfId="4" size="0" type="wholeTable"/>
    </tableStyle>
    <tableStyle count="4" pivot="0" name="01_CLIENT_FILE-style 3">
      <tableStyleElement dxfId="1" type="headerRow"/>
      <tableStyleElement dxfId="2" type="firstRowStripe"/>
      <tableStyleElement dxfId="3" type="secondRowStripe"/>
      <tableStyleElement dxfId="4" size="0" type="wholeTable"/>
    </tableStyle>
    <tableStyle count="4" pivot="0" name="00_READ_ME-style">
      <tableStyleElement dxfId="1" type="headerRow"/>
      <tableStyleElement dxfId="2" type="firstRowStripe"/>
      <tableStyleElement dxfId="3" type="secondRowStripe"/>
      <tableStyleElement dxfId="4" size="0" type="wholeTable"/>
    </tableStyle>
    <tableStyle count="4" pivot="0" name="03_THREE_GOALS-style">
      <tableStyleElement dxfId="1" type="headerRow"/>
      <tableStyleElement dxfId="2" type="firstRowStripe"/>
      <tableStyleElement dxfId="3" type="secondRowStripe"/>
      <tableStyleElement dxfId="4" size="0" type="wholeTable"/>
    </tableStyle>
    <tableStyle count="4" pivot="0" name="03_THREE_GOALS-style 2">
      <tableStyleElement dxfId="1" type="headerRow"/>
      <tableStyleElement dxfId="2" type="firstRowStripe"/>
      <tableStyleElement dxfId="3" type="secondRowStripe"/>
      <tableStyleElement dxfId="4" size="0" type="wholeTable"/>
    </tableStyle>
    <tableStyle count="4" pivot="0" name="03_THREE_GOALS-style 3">
      <tableStyleElement dxfId="1" type="headerRow"/>
      <tableStyleElement dxfId="2" type="firstRowStripe"/>
      <tableStyleElement dxfId="3" type="secondRowStripe"/>
      <tableStyleElement dxfId="4" size="0" type="wholeTable"/>
    </tableStyle>
    <tableStyle count="4" pivot="0" name="03_THREE_GOALS-style 4">
      <tableStyleElement dxfId="1" type="headerRow"/>
      <tableStyleElement dxfId="2" type="firstRowStripe"/>
      <tableStyleElement dxfId="3" type="secondRowStripe"/>
      <tableStyleElement dxfId="4" size="0" type="wholeTable"/>
    </tableStyle>
    <tableStyle count="4" pivot="0" name="02_WEALTH_CONTEXT-style">
      <tableStyleElement dxfId="1" type="headerRow"/>
      <tableStyleElement dxfId="2" type="firstRowStripe"/>
      <tableStyleElement dxfId="3" type="secondRowStripe"/>
      <tableStyleElement dxfId="4" size="0" type="wholeTable"/>
    </tableStyle>
    <tableStyle count="4" pivot="0" name="02_WEALTH_CONTEXT-style 2">
      <tableStyleElement dxfId="1" type="headerRow"/>
      <tableStyleElement dxfId="2" type="firstRowStripe"/>
      <tableStyleElement dxfId="3" type="secondRowStripe"/>
      <tableStyleElement dxfId="4" size="0" type="wholeTable"/>
    </tableStyle>
    <tableStyle count="4" pivot="0" name="02_WEALTH_CONTEXT-style 3">
      <tableStyleElement dxfId="1" type="headerRow"/>
      <tableStyleElement dxfId="2" type="firstRowStripe"/>
      <tableStyleElement dxfId="3" type="secondRowStripe"/>
      <tableStyleElement dxfId="4" size="0" type="wholeTable"/>
    </tableStyle>
    <tableStyle count="4" pivot="0" name="04_PORTFOLIO-style">
      <tableStyleElement dxfId="1" type="headerRow"/>
      <tableStyleElement dxfId="2" type="firstRowStripe"/>
      <tableStyleElement dxfId="3" type="secondRowStripe"/>
      <tableStyleElement dxfId="4" size="0" type="wholeTable"/>
    </tableStyle>
    <tableStyle count="4" pivot="0" name="04_PORTFOLIO-style 2">
      <tableStyleElement dxfId="1" type="headerRow"/>
      <tableStyleElement dxfId="2" type="firstRowStripe"/>
      <tableStyleElement dxfId="3" type="secondRowStripe"/>
      <tableStyleElement dxfId="4" size="0" type="wholeTable"/>
    </tableStyle>
    <tableStyle count="4" pivot="0" name="05_VALIDATION-style">
      <tableStyleElement dxfId="1" type="headerRow"/>
      <tableStyleElement dxfId="2" type="firstRowStripe"/>
      <tableStyleElement dxfId="3" type="secondRowStripe"/>
      <tableStyleElement dxfId="4" size="0" type="wholeTable"/>
    </tableStyle>
    <tableStyle count="4" pivot="0" name="05_VALIDATION-style 2">
      <tableStyleElement dxfId="1" type="headerRow"/>
      <tableStyleElement dxfId="2" type="firstRowStripe"/>
      <tableStyleElement dxfId="3" type="secondRowStripe"/>
      <tableStyleElement dxfId="4" size="0" type="wholeTable"/>
    </tableStyle>
    <tableStyle count="4" pivot="0" name="05_VALIDATION-style 3">
      <tableStyleElement dxfId="1" type="headerRow"/>
      <tableStyleElement dxfId="2" type="firstRowStripe"/>
      <tableStyleElement dxfId="3" type="secondRowStripe"/>
      <tableStyleElement dxfId="4" size="0" type="wholeTable"/>
    </tableStyle>
    <tableStyle count="4" pivot="0" name="07_PERFORMANCE_RISK-style">
      <tableStyleElement dxfId="1" type="headerRow"/>
      <tableStyleElement dxfId="2" type="firstRowStripe"/>
      <tableStyleElement dxfId="3" type="secondRowStripe"/>
      <tableStyleElement dxfId="4" size="0" type="wholeTable"/>
    </tableStyle>
    <tableStyle count="4" pivot="0" name="07_PERFORMANCE_RISK-style 2">
      <tableStyleElement dxfId="1" type="headerRow"/>
      <tableStyleElement dxfId="2" type="firstRowStripe"/>
      <tableStyleElement dxfId="3" type="secondRowStripe"/>
      <tableStyleElement dxfId="4" size="0" type="wholeTable"/>
    </tableStyle>
    <tableStyle count="4" pivot="0" name="07_PERFORMANCE_RISK-style 3">
      <tableStyleElement dxfId="1" type="headerRow"/>
      <tableStyleElement dxfId="2" type="firstRowStripe"/>
      <tableStyleElement dxfId="3" type="secondRowStripe"/>
      <tableStyleElement dxfId="4" size="0" type="wholeTable"/>
    </tableStyle>
    <tableStyle count="4" pivot="0" name="08_RED_FLAGS-style">
      <tableStyleElement dxfId="1" type="headerRow"/>
      <tableStyleElement dxfId="2" type="firstRowStripe"/>
      <tableStyleElement dxfId="3" type="secondRowStripe"/>
      <tableStyleElement dxfId="4" size="0" type="wholeTable"/>
    </tableStyle>
    <tableStyle count="4" pivot="0" name="08_RED_FLAGS-style 2">
      <tableStyleElement dxfId="1" type="headerRow"/>
      <tableStyleElement dxfId="2" type="firstRowStripe"/>
      <tableStyleElement dxfId="3" type="secondRowStripe"/>
      <tableStyleElement dxfId="4" size="0" type="wholeTable"/>
    </tableStyle>
    <tableStyle count="4" pivot="0" name="08_RED_FLAGS-style 3">
      <tableStyleElement dxfId="1" type="headerRow"/>
      <tableStyleElement dxfId="2" type="firstRowStripe"/>
      <tableStyleElement dxfId="3" type="secondRowStripe"/>
      <tableStyleElement dxfId="4" size="0" type="wholeTable"/>
    </tableStyle>
    <tableStyle count="4" pivot="0" name="06_CONSTRUCTION-style">
      <tableStyleElement dxfId="1" type="headerRow"/>
      <tableStyleElement dxfId="2" type="firstRowStripe"/>
      <tableStyleElement dxfId="3" type="secondRowStripe"/>
      <tableStyleElement dxfId="4" size="0" type="wholeTable"/>
    </tableStyle>
    <tableStyle count="3" pivot="0" name="06_CONSTRUCTION-style 2">
      <tableStyleElement dxfId="1" type="headerRow"/>
      <tableStyleElement dxfId="2" type="firstRowStripe"/>
      <tableStyleElement dxfId="3" type="secondRowStripe"/>
    </tableStyle>
    <tableStyle count="4" pivot="0" name="11_CLIENT_MEETING-style">
      <tableStyleElement dxfId="1" type="headerRow"/>
      <tableStyleElement dxfId="2" type="firstRowStripe"/>
      <tableStyleElement dxfId="3" type="secondRowStripe"/>
      <tableStyleElement dxfId="4" size="0" type="wholeTable"/>
    </tableStyle>
    <tableStyle count="4" pivot="0" name="11_CLIENT_MEETING-style 2">
      <tableStyleElement dxfId="1" type="headerRow"/>
      <tableStyleElement dxfId="2" type="firstRowStripe"/>
      <tableStyleElement dxfId="3" type="secondRowStripe"/>
      <tableStyleElement dxfId="4" size="0" type="wholeTable"/>
    </tableStyle>
    <tableStyle count="4" pivot="0" name="11_CLIENT_MEETING-style 3">
      <tableStyleElement dxfId="1" type="headerRow"/>
      <tableStyleElement dxfId="2" type="firstRowStripe"/>
      <tableStyleElement dxfId="3" type="secondRowStripe"/>
      <tableStyleElement dxfId="4" size="0" type="wholeTable"/>
    </tableStyle>
    <tableStyle count="4" pivot="0" name="11_CLIENT_MEETING-style 4">
      <tableStyleElement dxfId="1" type="headerRow"/>
      <tableStyleElement dxfId="2" type="firstRowStripe"/>
      <tableStyleElement dxfId="3" type="secondRowStripe"/>
      <tableStyleElement dxfId="4" size="0" type="wholeTable"/>
    </tableStyle>
    <tableStyle count="4" pivot="0" name="12_MONITORING-style">
      <tableStyleElement dxfId="1" type="headerRow"/>
      <tableStyleElement dxfId="2" type="firstRowStripe"/>
      <tableStyleElement dxfId="3" type="secondRowStripe"/>
      <tableStyleElement dxfId="4" size="0" type="wholeTable"/>
    </tableStyle>
    <tableStyle count="4" pivot="0" name="12_MONITORING-style 2">
      <tableStyleElement dxfId="1" type="headerRow"/>
      <tableStyleElement dxfId="2" type="firstRowStripe"/>
      <tableStyleElement dxfId="3" type="secondRowStripe"/>
      <tableStyleElement dxfId="4" size="0" type="wholeTable"/>
    </tableStyle>
    <tableStyle count="4" pivot="0" name="12_MONITORING-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Portfolio by economic bucket</a:t>
            </a:r>
          </a:p>
        </c:rich>
      </c:tx>
      <c:overlay val="0"/>
    </c:title>
    <c:plotArea>
      <c:layout/>
      <c:pieChart>
        <c:varyColors val="1"/>
        <c:ser>
          <c:idx val="0"/>
          <c:order val="0"/>
          <c:tx>
            <c:strRef>
              <c:f>'06_CONSTRUCTION'!$B$6</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'06_CONSTRUCTION'!$A$7:$A$11</c:f>
            </c:strRef>
          </c:cat>
          <c:val>
            <c:numRef>
              <c:f>'06_CONSTRUCTION'!$B$7:$B$11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Largest economic exposures</a:t>
            </a:r>
          </a:p>
        </c:rich>
      </c:tx>
      <c:overlay val="0"/>
    </c:title>
    <c:plotArea>
      <c:layout/>
      <c:barChart>
        <c:barDir val="bar"/>
        <c:ser>
          <c:idx val="0"/>
          <c:order val="0"/>
          <c:tx>
            <c:strRef>
              <c:f>'06_CONSTRUCTION'!$B$23</c:f>
            </c:strRef>
          </c:tx>
          <c:spPr>
            <a:solidFill>
              <a:schemeClr val="accent1"/>
            </a:solidFill>
            <a:ln cmpd="sng">
              <a:noFill/>
            </a:ln>
          </c:spPr>
          <c:cat>
            <c:strRef>
              <c:f>'06_CONSTRUCTION'!$A$24:$A$31</c:f>
            </c:strRef>
          </c:cat>
          <c:val>
            <c:numRef>
              <c:f>'06_CONSTRUCTION'!$B$24:$B$31</c:f>
              <c:numCache/>
            </c:numRef>
          </c:val>
        </c:ser>
        <c:axId val="193320746"/>
        <c:axId val="2145256294"/>
      </c:barChart>
      <c:catAx>
        <c:axId val="193320746"/>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 lakh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5256294"/>
      </c:catAx>
      <c:valAx>
        <c:axId val="2145256294"/>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Exposure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32074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5</xdr:row>
      <xdr:rowOff>28575</xdr:rowOff>
    </xdr:from>
    <xdr:ext cx="3590925" cy="2514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22</xdr:row>
      <xdr:rowOff>19050</xdr:rowOff>
    </xdr:from>
    <xdr:ext cx="3952875" cy="2876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1:C23" displayName="StoryMap" name="StoryMap" id="4">
  <tableColumns count="3">
    <tableColumn name="Step" id="1"/>
    <tableColumn name="Sheet" id="2"/>
    <tableColumn name="Question it answers" id="3"/>
  </tableColumns>
  <tableStyleInfo name="00_READ_ME-style" showColumnStripes="0" showFirstColumn="1" showLastColumn="1" showRowStripes="1"/>
</table>
</file>

<file path=xl/tables/table2.xml><?xml version="1.0" encoding="utf-8"?>
<table xmlns="http://schemas.openxmlformats.org/spreadsheetml/2006/main" ref="A6:B12" displayName="ClientSnapshot" name="ClientSnapshot" id="1">
  <tableColumns count="2">
    <tableColumn name="Field" id="1"/>
    <tableColumn name="Working value" id="2"/>
  </tableColumns>
  <tableStyleInfo name="01_CLIENT_FILE-style" showColumnStripes="0" showFirstColumn="1" showLastColumn="1" showRowStripes="1"/>
</table>
</file>

<file path=xl/tables/table3.xml><?xml version="1.0" encoding="utf-8"?>
<table xmlns="http://schemas.openxmlformats.org/spreadsheetml/2006/main" ref="A15:B20" displayName="InboundBrief" name="InboundBrief" id="2">
  <tableColumns count="2">
    <tableColumn name="Question" id="1"/>
    <tableColumn name="Working answer / analysis" id="2"/>
  </tableColumns>
  <tableStyleInfo name="01_CLIENT_FILE-style 2" showColumnStripes="0" showFirstColumn="1" showLastColumn="1" showRowStripes="1"/>
</table>
</file>

<file path=xl/tables/table4.xml><?xml version="1.0" encoding="utf-8"?>
<table xmlns="http://schemas.openxmlformats.org/spreadsheetml/2006/main" ref="A23:C28" displayName="IntakeChecklist" name="IntakeChecklist" id="3">
  <tableColumns count="3">
    <tableColumn name="Order" id="1"/>
    <tableColumn name="Question" id="2"/>
    <tableColumn name="Answer" id="3"/>
  </tableColumns>
  <tableStyleInfo name="01_CLIENT_FILE-style 3" showColumnStripes="0" showFirstColumn="1" showLastColumn="1" showRowStripes="1"/>
</table>
</file>

<file path=xl/tables/table5.xml><?xml version="1.0" encoding="utf-8"?>
<table xmlns="http://schemas.openxmlformats.org/spreadsheetml/2006/main" ref="A6:C14" displayName="WealthContext" name="WealthContext" id="9">
  <tableColumns count="3">
    <tableColumn name="Factor" id="1"/>
    <tableColumn name="Working assumption" id="2"/>
    <tableColumn name="Why it matters" id="3"/>
  </tableColumns>
  <tableStyleInfo name="02_WEALTH_CONTEXT-style" showColumnStripes="0" showFirstColumn="1" showLastColumn="1" showRowStripes="1"/>
</table>
</file>

<file path=xl/tables/table6.xml><?xml version="1.0" encoding="utf-8"?>
<table xmlns="http://schemas.openxmlformats.org/spreadsheetml/2006/main" ref="A18:B22" displayName="WealthInsights" name="WealthInsights" id="10">
  <tableColumns count="2">
    <tableColumn name="Observation" id="1"/>
    <tableColumn name="Analysis / consequence" id="2"/>
  </tableColumns>
  <tableStyleInfo name="02_WEALTH_CONTEXT-style 2" showColumnStripes="0" showFirstColumn="1" showLastColumn="1" showRowStripes="1"/>
</table>
</file>

<file path=xl/tables/table7.xml><?xml version="1.0" encoding="utf-8"?>
<table xmlns="http://schemas.openxmlformats.org/spreadsheetml/2006/main" ref="A25:C31" displayName="DataRequests" name="DataRequests" id="11">
  <tableColumns count="3">
    <tableColumn name="Information" id="1"/>
    <tableColumn name="What to collect" id="2"/>
    <tableColumn name="Why it changes advice" id="3"/>
  </tableColumns>
  <tableStyleInfo name="02_WEALTH_CONTEXT-style 3" showColumnStripes="0" showFirstColumn="1" showLastColumn="1" showRowStripes="1"/>
</table>
</file>

<file path=xl/tables/table8.xml><?xml version="1.0" encoding="utf-8"?>
<table xmlns="http://schemas.openxmlformats.org/spreadsheetml/2006/main" ref="A6:B14" displayName="Goal1" name="Goal1" id="5">
  <tableColumns count="2">
    <tableColumn name="Dimension" id="1"/>
    <tableColumn name="Analysis / required action" id="2"/>
  </tableColumns>
  <tableStyleInfo name="03_THREE_GOALS-style" showColumnStripes="0" showFirstColumn="1" showLastColumn="1" showRowStripes="1"/>
</table>
</file>

<file path=xl/tables/table9.xml><?xml version="1.0" encoding="utf-8"?>
<table xmlns="http://schemas.openxmlformats.org/spreadsheetml/2006/main" ref="A17:B25" displayName="Goal2" name="Goal2" id="6">
  <tableColumns count="2">
    <tableColumn name="Dimension" id="1"/>
    <tableColumn name="Analysis / required action" id="2"/>
  </tableColumns>
  <tableStyleInfo name="03_THREE_GOALS-style 2" showColumnStripes="0" showFirstColumn="1" showLastColumn="1" showRowStripes="1"/>
</table>
</file>

<file path=xl/tables/table10.xml><?xml version="1.0" encoding="utf-8"?>
<table xmlns="http://schemas.openxmlformats.org/spreadsheetml/2006/main" ref="A28:B36" displayName="Goal3" name="Goal3" id="7">
  <tableColumns count="2">
    <tableColumn name="Dimension" id="1"/>
    <tableColumn name="Analysis / required action" id="2"/>
  </tableColumns>
  <tableStyleInfo name="03_THREE_GOALS-style 3" showColumnStripes="0" showFirstColumn="1" showLastColumn="1" showRowStripes="1"/>
</table>
</file>

<file path=xl/tables/table11.xml><?xml version="1.0" encoding="utf-8"?>
<table xmlns="http://schemas.openxmlformats.org/spreadsheetml/2006/main" ref="A39:D44" displayName="GoalCompare" name="GoalCompare" id="8">
  <tableColumns count="4">
    <tableColumn name="Decision lens" id="1"/>
    <tableColumn name="Goal 1" id="2"/>
    <tableColumn name="Goal 2" id="3"/>
    <tableColumn name="Goal 3" id="4"/>
  </tableColumns>
  <tableStyleInfo name="03_THREE_GOALS-style 4" showColumnStripes="0" showFirstColumn="1" showLastColumn="1" showRowStripes="1"/>
</table>
</file>

<file path=xl/tables/table12.xml><?xml version="1.0" encoding="utf-8"?>
<table xmlns="http://schemas.openxmlformats.org/spreadsheetml/2006/main" ref="A6:L27" displayName="Holdings" name="Holdings" id="12">
  <tableColumns count="12">
    <tableColumn name="Ticker / Asset" id="1"/>
    <tableColumn name="Instrument" id="2"/>
    <tableColumn name="Asset Class" id="3"/>
    <tableColumn name="Economic Exposure" id="4"/>
    <tableColumn name="Geography" id="5"/>
    <tableColumn name="Value (₹L)" id="6"/>
    <tableColumn name="Weight" id="7"/>
    <tableColumn name="12M Return" id="8"/>
    <tableColumn name="3Y CAGR" id="9"/>
    <tableColumn name="3Y Volatility" id="10"/>
    <tableColumn name="Role in Portfolio" id="11"/>
    <tableColumn name="Initial Question" id="12"/>
  </tableColumns>
  <tableStyleInfo name="04_PORTFOLIO-style" showColumnStripes="0" showFirstColumn="1" showLastColumn="1" showRowStripes="1"/>
</table>
</file>

<file path=xl/tables/table13.xml><?xml version="1.0" encoding="utf-8"?>
<table xmlns="http://schemas.openxmlformats.org/spreadsheetml/2006/main" ref="A31:B36" displayName="InventoryRead" name="InventoryRead" id="13">
  <tableColumns count="2">
    <tableColumn name="Observation" id="1"/>
    <tableColumn name="What it tells us / why it matters" id="2"/>
  </tableColumns>
  <tableStyleInfo name="04_PORTFOLIO-style 2" showColumnStripes="0" showFirstColumn="1" showLastColumn="1" showRowStripes="1"/>
</table>
</file>

<file path=xl/tables/table14.xml><?xml version="1.0" encoding="utf-8"?>
<table xmlns="http://schemas.openxmlformats.org/spreadsheetml/2006/main" ref="A6:G13" displayName="ValidationLog" name="ValidationLog" id="14">
  <tableColumns count="7">
    <tableColumn name="Control" id="1"/>
    <tableColumn name="Source field" id="2"/>
    <tableColumn name="Source value" id="3"/>
    <tableColumn name="Analyst field" id="4"/>
    <tableColumn name="Analyst value" id="5"/>
    <tableColumn name="Status" id="6"/>
    <tableColumn name="Why it matters" id="7"/>
  </tableColumns>
  <tableStyleInfo name="05_VALIDATION-style" showColumnStripes="0" showFirstColumn="1" showLastColumn="1" showRowStripes="1"/>
</table>
</file>

<file path=xl/tables/table15.xml><?xml version="1.0" encoding="utf-8"?>
<table xmlns="http://schemas.openxmlformats.org/spreadsheetml/2006/main" ref="A16:B21" displayName="ValidationStory" name="ValidationStory" id="15">
  <tableColumns count="2">
    <tableColumn name="Checkpoint" id="1"/>
    <tableColumn name="What the analyst concludes" id="2"/>
  </tableColumns>
  <tableStyleInfo name="05_VALIDATION-style 2" showColumnStripes="0" showFirstColumn="1" showLastColumn="1" showRowStripes="1"/>
</table>
</file>

<file path=xl/tables/table16.xml><?xml version="1.0" encoding="utf-8"?>
<table xmlns="http://schemas.openxmlformats.org/spreadsheetml/2006/main" ref="A24:C30" displayName="ValidationRequests" name="ValidationRequests" id="16">
  <tableColumns count="3">
    <tableColumn name="Source" id="1"/>
    <tableColumn name="Fields needed" id="2"/>
    <tableColumn name="Decision unlocked" id="3"/>
  </tableColumns>
  <tableStyleInfo name="05_VALIDATION-style 3" showColumnStripes="0" showFirstColumn="1" showLastColumn="1" showRowStripes="1"/>
</table>
</file>

<file path=xl/tables/table17.xml><?xml version="1.0" encoding="utf-8"?>
<table xmlns="http://schemas.openxmlformats.org/spreadsheetml/2006/main" ref="A6:D11" displayName="AssetAllocation" name="AssetAllocation" id="23">
  <tableColumns count="4">
    <tableColumn name="Economic bucket" id="1"/>
    <tableColumn name="Value (₹L)" id="2"/>
    <tableColumn name="Weight" id="3"/>
    <tableColumn name="Portfolio role" id="4"/>
  </tableColumns>
  <tableStyleInfo name="06_CONSTRUCTION-style" showColumnStripes="0" showFirstColumn="1" showLastColumn="1" showRowStripes="1"/>
</table>
</file>

<file path=xl/tables/table18.xml><?xml version="1.0" encoding="utf-8"?>
<table xmlns="http://schemas.openxmlformats.org/spreadsheetml/2006/main" ref="A39:B44" displayName="Table_1" name="Table_1" id="24">
  <tableColumns count="2">
    <tableColumn name="Finding" id="1"/>
    <tableColumn name="Why it matters / what it changes" id="2"/>
  </tableColumns>
  <tableStyleInfo name="06_CONSTRUCTION-style 2" showColumnStripes="0" showFirstColumn="1" showLastColumn="1" showRowStripes="1"/>
</table>
</file>

<file path=xl/tables/table19.xml><?xml version="1.0" encoding="utf-8"?>
<table xmlns="http://schemas.openxmlformats.org/spreadsheetml/2006/main" ref="A5:G26" displayName="PerfContrib" name="PerfContrib" id="17">
  <tableColumns count="7">
    <tableColumn name="Holding" id="1"/>
    <tableColumn name="Value ₹L" id="2"/>
    <tableColumn name="Weight" id="3"/>
    <tableColumn name="12M return" id="4"/>
    <tableColumn name="Weight × return" id="5"/>
    <tableColumn name="3Y CAGR" id="6"/>
    <tableColumn name="3Y vol" id="7"/>
  </tableColumns>
  <tableStyleInfo name="07_PERFORMANCE_RISK-style" showColumnStripes="0" showFirstColumn="1" showLastColumn="1" showRowStripes="1"/>
</table>
</file>

<file path=xl/tables/table20.xml><?xml version="1.0" encoding="utf-8"?>
<table xmlns="http://schemas.openxmlformats.org/spreadsheetml/2006/main" ref="A36:E40" displayName="StressTests" name="StressTests" id="18">
  <tableColumns count="5">
    <tableColumn name="Scenario" id="1"/>
    <tableColumn name="Exposure" id="2"/>
    <tableColumn name="Portfolio weight" id="3"/>
    <tableColumn name="Shock" id="4"/>
    <tableColumn name="Illustrative portfolio impact" id="5"/>
  </tableColumns>
  <tableStyleInfo name="07_PERFORMANCE_RISK-style 2" showColumnStripes="0" showFirstColumn="1" showLastColumn="1" showRowStripes="1"/>
</table>
</file>

<file path=xl/tables/table21.xml><?xml version="1.0" encoding="utf-8"?>
<table xmlns="http://schemas.openxmlformats.org/spreadsheetml/2006/main" ref="A44:B49" displayName="RiskInsights" name="RiskInsights" id="19">
  <tableColumns count="2">
    <tableColumn name="Finding" id="1"/>
    <tableColumn name="Interpretation / next decision" id="2"/>
  </tableColumns>
  <tableStyleInfo name="07_PERFORMANCE_RISK-style 3" showColumnStripes="0" showFirstColumn="1" showLastColumn="1" showRowStripes="1"/>
</table>
</file>

<file path=xl/tables/table22.xml><?xml version="1.0" encoding="utf-8"?>
<table xmlns="http://schemas.openxmlformats.org/spreadsheetml/2006/main" ref="A6:H12" displayName="RedFlags" name="RedFlags" id="20">
  <tableColumns count="8">
    <tableColumn name="ID" id="1"/>
    <tableColumn name="Risk type" id="2"/>
    <tableColumn name="Where found" id="3"/>
    <tableColumn name="Evidence" id="4"/>
    <tableColumn name="How we found it" id="5"/>
    <tableColumn name="Why it matters" id="6"/>
    <tableColumn name="Possible response" id="7"/>
    <tableColumn name="Goal sensitivity" id="8"/>
  </tableColumns>
  <tableStyleInfo name="08_RED_FLAGS-style" showColumnStripes="0" showFirstColumn="1" showLastColumn="1" showRowStripes="1"/>
</table>
</file>

<file path=xl/tables/table23.xml><?xml version="1.0" encoding="utf-8"?>
<table xmlns="http://schemas.openxmlformats.org/spreadsheetml/2006/main" ref="A16:B22" displayName="RedFlagMethod" name="RedFlagMethod" id="21">
  <tableColumns count="2">
    <tableColumn name="Stage" id="1"/>
    <tableColumn name="What happens" id="2"/>
  </tableColumns>
  <tableStyleInfo name="08_RED_FLAGS-style 2" showColumnStripes="0" showFirstColumn="1" showLastColumn="1" showRowStripes="1"/>
</table>
</file>

<file path=xl/tables/table24.xml><?xml version="1.0" encoding="utf-8"?>
<table xmlns="http://schemas.openxmlformats.org/spreadsheetml/2006/main" ref="A25:B28" displayName="TopFlags" name="TopFlags" id="22">
  <tableColumns count="2">
    <tableColumn name="Priority finding" id="1"/>
    <tableColumn name="Why it deserves attention" id="2"/>
  </tableColumns>
  <tableStyleInfo name="08_RED_FLAGS-style 3" showColumnStripes="0" showFirstColumn="1" showLastColumn="1" showRowStripes="1"/>
</table>
</file>

<file path=xl/tables/table25.xml><?xml version="1.0" encoding="utf-8"?>
<table xmlns="http://schemas.openxmlformats.org/spreadsheetml/2006/main" ref="A5:C12" displayName="MeetingFlow" name="MeetingFlow" id="25">
  <tableColumns count="3">
    <tableColumn name="Time" id="1"/>
    <tableColumn name="Purpose" id="2"/>
    <tableColumn name="What the advisor actually does" id="3"/>
  </tableColumns>
  <tableStyleInfo name="11_CLIENT_MEETING-style" showColumnStripes="0" showFirstColumn="1" showLastColumn="1" showRowStripes="1"/>
</table>
</file>

<file path=xl/tables/table26.xml><?xml version="1.0" encoding="utf-8"?>
<table xmlns="http://schemas.openxmlformats.org/spreadsheetml/2006/main" ref="A15:B18" displayName="ClientScripts" name="ClientScripts" id="26">
  <tableColumns count="2">
    <tableColumn name="Finding" id="1"/>
    <tableColumn name="Client-friendly explanation" id="2"/>
  </tableColumns>
  <tableStyleInfo name="11_CLIENT_MEETING-style 2" showColumnStripes="0" showFirstColumn="1" showLastColumn="1" showRowStripes="1"/>
</table>
</file>

<file path=xl/tables/table27.xml><?xml version="1.0" encoding="utf-8"?>
<table xmlns="http://schemas.openxmlformats.org/spreadsheetml/2006/main" ref="A22:B26" displayName="Objections" name="Objections" id="27">
  <tableColumns count="2">
    <tableColumn name="Likely objection" id="1"/>
    <tableColumn name="Response" id="2"/>
  </tableColumns>
  <tableStyleInfo name="11_CLIENT_MEETING-style 3" showColumnStripes="0" showFirstColumn="1" showLastColumn="1" showRowStripes="1"/>
</table>
</file>

<file path=xl/tables/table28.xml><?xml version="1.0" encoding="utf-8"?>
<table xmlns="http://schemas.openxmlformats.org/spreadsheetml/2006/main" ref="A30:B37" displayName="Conversion" name="Conversion" id="28">
  <tableColumns count="2">
    <tableColumn name="Checkpoint" id="1"/>
    <tableColumn name="Status" id="2"/>
  </tableColumns>
  <tableStyleInfo name="11_CLIENT_MEETING-style 4" showColumnStripes="0" showFirstColumn="1" showLastColumn="1" showRowStripes="1"/>
</table>
</file>

<file path=xl/tables/table29.xml><?xml version="1.0" encoding="utf-8"?>
<table xmlns="http://schemas.openxmlformats.org/spreadsheetml/2006/main" ref="A5:D13" displayName="Monitoring" name="Monitoring" id="29">
  <tableColumns count="4">
    <tableColumn name="Metric" id="1"/>
    <tableColumn name="What we watch" id="2"/>
    <tableColumn name="Cadence" id="3"/>
    <tableColumn name="Trigger / response" id="4"/>
  </tableColumns>
  <tableStyleInfo name="12_MONITORING-style" showColumnStripes="0" showFirstColumn="1" showLastColumn="1" showRowStripes="1"/>
</table>
</file>

<file path=xl/tables/table30.xml><?xml version="1.0" encoding="utf-8"?>
<table xmlns="http://schemas.openxmlformats.org/spreadsheetml/2006/main" ref="A16:D21" displayName="MonthlyReview" name="MonthlyReview" id="30">
  <tableColumns count="4">
    <tableColumn name="Area" id="1"/>
    <tableColumn name="Current case read" id="2"/>
    <tableColumn name="Interpretation" id="3"/>
    <tableColumn name="Action" id="4"/>
  </tableColumns>
  <tableStyleInfo name="12_MONITORING-style 2" showColumnStripes="0" showFirstColumn="1" showLastColumn="1" showRowStripes="1"/>
</table>
</file>

<file path=xl/tables/table31.xml><?xml version="1.0" encoding="utf-8"?>
<table xmlns="http://schemas.openxmlformats.org/spreadsheetml/2006/main" ref="A25:B30" displayName="MonitoringEvents" name="MonitoringEvents" id="31">
  <tableColumns count="2">
    <tableColumn name="Trigger" id="1"/>
    <tableColumn name="Advisor response" id="2"/>
  </tableColumns>
  <tableStyleInfo name="12_MONITORING-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EC15tWo_oU"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rEC15tWo_oU" TargetMode="External"/><Relationship Id="rId2" Type="http://schemas.openxmlformats.org/officeDocument/2006/relationships/drawing" Target="../drawings/drawing2.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6" Type="http://schemas.openxmlformats.org/officeDocument/2006/relationships/table" Target="../tables/table12.xml"/><Relationship Id="rId7"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4.xml"/><Relationship Id="rId6" Type="http://schemas.openxmlformats.org/officeDocument/2006/relationships/table" Target="../tables/table15.xml"/><Relationship Id="rId7"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7.xml"/><Relationship Id="rId5"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sec.gov/Archives/edgar/data/1100663/000119312525171581/d925155d497k.htm" TargetMode="External"/><Relationship Id="rId22" Type="http://schemas.openxmlformats.org/officeDocument/2006/relationships/hyperlink" Target="https://www.invesco.com/us-rest/contentdetail?contentId=3a48e01e98630410VgnVCM10000046f1bf0aRCRD" TargetMode="External"/><Relationship Id="rId21" Type="http://schemas.openxmlformats.org/officeDocument/2006/relationships/hyperlink" Target="https://www.invesco.com/us-rest/contentdetail?contentId=3a48e01e98630410VgnVCM10000046f1bf0aRCRD" TargetMode="External"/><Relationship Id="rId24" Type="http://schemas.openxmlformats.org/officeDocument/2006/relationships/hyperlink" Target="https://amc.ppfas.com/downloads/digital-factsheet/2025/june-2025/outlook.php" TargetMode="External"/><Relationship Id="rId23" Type="http://schemas.openxmlformats.org/officeDocument/2006/relationships/hyperlink" Target="https://amc.ppfas.com/downloads/digital-factsheet/2025/june-2025/outlook.php" TargetMode="External"/><Relationship Id="rId1" Type="http://schemas.openxmlformats.org/officeDocument/2006/relationships/hyperlink" Target="https://amc.ppfas.com/downloads/digital-factsheet/2025/june-2025/outlook.php" TargetMode="External"/><Relationship Id="rId2" Type="http://schemas.openxmlformats.org/officeDocument/2006/relationships/hyperlink" Target="https://amc.ppfas.com/downloads/digital-factsheet/2025/june-2025/outlook.php" TargetMode="External"/><Relationship Id="rId3" Type="http://schemas.openxmlformats.org/officeDocument/2006/relationships/hyperlink" Target="https://digitalfactsheet.icicipruamc.com/passive/pdf/passive-fund-factsheet-june-2025.pdf" TargetMode="External"/><Relationship Id="rId4" Type="http://schemas.openxmlformats.org/officeDocument/2006/relationships/hyperlink" Target="https://www.tatamutualfund.com/system/files/2025-07/TataMF%20Factsheet-June%202025.pdf" TargetMode="External"/><Relationship Id="rId9" Type="http://schemas.openxmlformats.org/officeDocument/2006/relationships/hyperlink" Target="https://www.barodabnpparibasmf.in/efactsheet/Jun2025/Innerpages/Gold-ETF.html" TargetMode="External"/><Relationship Id="rId26" Type="http://schemas.openxmlformats.org/officeDocument/2006/relationships/hyperlink" Target="https://intelligence.crisil.com/content/dam/crisilcom2-0/our-analysis/views-and-commentaries/rateview/2025/06/rateview-june-2025.pdf" TargetMode="External"/><Relationship Id="rId25" Type="http://schemas.openxmlformats.org/officeDocument/2006/relationships/hyperlink" Target="https://amc.ppfas.com/downloads/digital-factsheet/2025/june-2025/outlook.php" TargetMode="External"/><Relationship Id="rId28" Type="http://schemas.openxmlformats.org/officeDocument/2006/relationships/hyperlink" Target="https://intelligence.crisil.com/content/dam/crisilcom2-0/our-analysis/views-and-commentaries/rateview/2025/06/rateview-june-2025.pdf" TargetMode="External"/><Relationship Id="rId27" Type="http://schemas.openxmlformats.org/officeDocument/2006/relationships/hyperlink" Target="https://www.barodabnpparibasmf.in/efactsheet/Jun2025/Innerpages/Gold-ETF.html" TargetMode="External"/><Relationship Id="rId5" Type="http://schemas.openxmlformats.org/officeDocument/2006/relationships/hyperlink" Target="https://www.tatamutualfund.com/system/files/2025-07/TataMF%20Factsheet-June%202025.pdf" TargetMode="External"/><Relationship Id="rId6" Type="http://schemas.openxmlformats.org/officeDocument/2006/relationships/hyperlink" Target="https://www.invesco.com/us-rest/contentdetail?contentId=3a48e01e98630410VgnVCM10000046f1bf0aRCRD" TargetMode="External"/><Relationship Id="rId29" Type="http://schemas.openxmlformats.org/officeDocument/2006/relationships/drawing" Target="../drawings/drawing10.xml"/><Relationship Id="rId7" Type="http://schemas.openxmlformats.org/officeDocument/2006/relationships/hyperlink" Target="https://www.invesco.com/us-rest/contentdetail?contentId=3a48e01e98630410VgnVCM10000046f1bf0aRCRD" TargetMode="External"/><Relationship Id="rId8" Type="http://schemas.openxmlformats.org/officeDocument/2006/relationships/hyperlink" Target="https://sprott.com/insights/gold-and-silver-bull-run-continues/" TargetMode="External"/><Relationship Id="rId11" Type="http://schemas.openxmlformats.org/officeDocument/2006/relationships/hyperlink" Target="https://intelligence.crisil.com/content/dam/crisilcom2-0/our-analysis/views-and-commentaries/rateview/2025/06/rateview-june-2025.pdf" TargetMode="External"/><Relationship Id="rId10" Type="http://schemas.openxmlformats.org/officeDocument/2006/relationships/hyperlink" Target="https://sprott.com/insights/gold-and-silver-bull-run-continues/" TargetMode="External"/><Relationship Id="rId13" Type="http://schemas.openxmlformats.org/officeDocument/2006/relationships/hyperlink" Target="https://irp.cdn-website.com/1fa14e81/files/uploaded/Fall-2025-BOT-Board-Book-c82661ae.pdf" TargetMode="External"/><Relationship Id="rId12" Type="http://schemas.openxmlformats.org/officeDocument/2006/relationships/hyperlink" Target="https://www.sec.gov/Archives/edgar/data/1100663/000119312525171581/d925155d497k.htm" TargetMode="External"/><Relationship Id="rId15" Type="http://schemas.openxmlformats.org/officeDocument/2006/relationships/hyperlink" Target="https://www.vaneck.com/q3-2025-outlook-in-the-middle-of-the-3-reckoning-focus-on-what-we-can-see.pdf" TargetMode="External"/><Relationship Id="rId14" Type="http://schemas.openxmlformats.org/officeDocument/2006/relationships/hyperlink" Target="https://www.invesco.com/us-rest/contentdetail?contentId=3a48e01e98630410VgnVCM10000046f1bf0aRCRD" TargetMode="External"/><Relationship Id="rId17" Type="http://schemas.openxmlformats.org/officeDocument/2006/relationships/hyperlink" Target="https://www.daughtersofpenelope.org/pdfs/Yearbook_Web.pdf" TargetMode="External"/><Relationship Id="rId16" Type="http://schemas.openxmlformats.org/officeDocument/2006/relationships/hyperlink" Target="https://www.invesco.com/us-rest/contentdetail?contentId=3a48e01e98630410VgnVCM10000046f1bf0aRCRD" TargetMode="External"/><Relationship Id="rId19" Type="http://schemas.openxmlformats.org/officeDocument/2006/relationships/hyperlink" Target="https://go.ycharts.com/hubfs/Fund_Flows_Reports/Fund_Flow_Report_July_2025.pdf" TargetMode="External"/><Relationship Id="rId18" Type="http://schemas.openxmlformats.org/officeDocument/2006/relationships/hyperlink" Target="https://www.daughtersofpenelope.org/pdfs/Yearbook_Web.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28.xml"/><Relationship Id="rId6" Type="http://schemas.openxmlformats.org/officeDocument/2006/relationships/table" Target="../tables/table25.xml"/><Relationship Id="rId7" Type="http://schemas.openxmlformats.org/officeDocument/2006/relationships/table" Target="../tables/table26.xml"/><Relationship Id="rId8"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29.xml"/><Relationship Id="rId6" Type="http://schemas.openxmlformats.org/officeDocument/2006/relationships/table" Target="../tables/table30.xml"/><Relationship Id="rId7"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24D"/>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1.0"/>
    <col customWidth="1" min="2" max="2" width="175.71"/>
    <col customWidth="1" min="3" max="3" width="82.0"/>
    <col customWidth="1" min="4" max="4" width="28.0"/>
    <col customWidth="1" min="5" max="12" width="24.0"/>
    <col customWidth="1" min="13" max="26" width="8.71"/>
  </cols>
  <sheetData>
    <row r="1" ht="33.75" customHeight="1">
      <c r="A1" s="1" t="s">
        <v>51</v>
      </c>
      <c r="B1" s="2"/>
      <c r="C1" s="2"/>
      <c r="D1" s="2"/>
      <c r="E1" s="2"/>
      <c r="F1" s="2"/>
      <c r="G1" s="2"/>
      <c r="H1" s="2"/>
      <c r="I1" s="2"/>
      <c r="J1" s="2"/>
      <c r="K1" s="2"/>
      <c r="L1" s="3"/>
    </row>
    <row r="2" ht="51.75" customHeight="1">
      <c r="A2" s="4" t="s">
        <v>52</v>
      </c>
    </row>
    <row r="3" ht="30.0" customHeight="1">
      <c r="A3" s="14" t="s">
        <v>53</v>
      </c>
      <c r="B3" s="2"/>
      <c r="C3" s="2"/>
      <c r="D3" s="2"/>
      <c r="E3" s="2"/>
      <c r="F3" s="2"/>
      <c r="G3" s="2"/>
      <c r="H3" s="2"/>
      <c r="I3" s="2"/>
      <c r="J3" s="2"/>
      <c r="K3" s="2"/>
      <c r="L3" s="3"/>
    </row>
    <row r="5" ht="24.0" customHeight="1">
      <c r="A5" s="6" t="s">
        <v>54</v>
      </c>
      <c r="B5" s="2"/>
      <c r="C5" s="2"/>
      <c r="D5" s="2"/>
      <c r="E5" s="2"/>
      <c r="F5" s="2"/>
      <c r="G5" s="2"/>
      <c r="H5" s="2"/>
      <c r="I5" s="2"/>
      <c r="J5" s="2"/>
      <c r="K5" s="2"/>
      <c r="L5" s="3"/>
    </row>
    <row r="6" ht="90.0" customHeight="1">
      <c r="A6" s="15" t="s">
        <v>55</v>
      </c>
      <c r="B6" s="16" t="s">
        <v>56</v>
      </c>
    </row>
    <row r="7" ht="90.0" customHeight="1">
      <c r="A7" s="15" t="s">
        <v>57</v>
      </c>
      <c r="B7" s="16" t="s">
        <v>58</v>
      </c>
    </row>
    <row r="8" ht="57.75" customHeight="1">
      <c r="A8" s="15" t="s">
        <v>59</v>
      </c>
      <c r="B8" s="17" t="s">
        <v>60</v>
      </c>
    </row>
    <row r="10" ht="24.0" customHeight="1">
      <c r="A10" s="18" t="s">
        <v>61</v>
      </c>
      <c r="B10" s="2"/>
      <c r="C10" s="2"/>
      <c r="D10" s="2"/>
      <c r="E10" s="2"/>
      <c r="F10" s="2"/>
      <c r="G10" s="2"/>
      <c r="H10" s="2"/>
      <c r="I10" s="2"/>
      <c r="J10" s="2"/>
      <c r="K10" s="2"/>
      <c r="L10" s="3"/>
    </row>
    <row r="11" ht="27.75" customHeight="1">
      <c r="A11" s="7" t="s">
        <v>63</v>
      </c>
      <c r="B11" s="7" t="s">
        <v>64</v>
      </c>
      <c r="C11" s="7" t="s">
        <v>65</v>
      </c>
    </row>
    <row r="12" ht="37.5" customHeight="1">
      <c r="A12" s="8" t="s">
        <v>67</v>
      </c>
      <c r="B12" s="8" t="s">
        <v>69</v>
      </c>
      <c r="C12" s="8" t="s">
        <v>70</v>
      </c>
    </row>
    <row r="13" ht="37.5" customHeight="1">
      <c r="A13" s="8" t="s">
        <v>72</v>
      </c>
      <c r="B13" s="8" t="s">
        <v>73</v>
      </c>
      <c r="C13" s="8" t="s">
        <v>74</v>
      </c>
    </row>
    <row r="14" ht="51.75" customHeight="1">
      <c r="A14" s="8" t="s">
        <v>75</v>
      </c>
      <c r="B14" s="8" t="s">
        <v>76</v>
      </c>
      <c r="C14" s="8" t="s">
        <v>78</v>
      </c>
    </row>
    <row r="15" ht="24.75" customHeight="1">
      <c r="A15" s="8" t="s">
        <v>79</v>
      </c>
      <c r="B15" s="8" t="s">
        <v>80</v>
      </c>
      <c r="C15" s="8" t="s">
        <v>81</v>
      </c>
    </row>
    <row r="16" ht="24.75" customHeight="1">
      <c r="A16" s="8" t="s">
        <v>83</v>
      </c>
      <c r="B16" s="8" t="s">
        <v>84</v>
      </c>
      <c r="C16" s="8" t="s">
        <v>86</v>
      </c>
    </row>
    <row r="17" ht="37.5" customHeight="1">
      <c r="A17" s="8" t="s">
        <v>87</v>
      </c>
      <c r="B17" s="8" t="s">
        <v>88</v>
      </c>
      <c r="C17" s="8" t="s">
        <v>89</v>
      </c>
    </row>
    <row r="18" ht="24.75" customHeight="1">
      <c r="A18" s="8" t="s">
        <v>91</v>
      </c>
      <c r="B18" s="8" t="s">
        <v>92</v>
      </c>
      <c r="C18" s="8" t="s">
        <v>93</v>
      </c>
    </row>
    <row r="19" ht="37.5" customHeight="1">
      <c r="A19" s="8" t="s">
        <v>94</v>
      </c>
      <c r="B19" s="8" t="s">
        <v>95</v>
      </c>
      <c r="C19" s="8" t="s">
        <v>96</v>
      </c>
    </row>
    <row r="20" ht="37.5" customHeight="1">
      <c r="A20" s="8" t="s">
        <v>98</v>
      </c>
      <c r="B20" s="8" t="s">
        <v>100</v>
      </c>
      <c r="C20" s="8" t="s">
        <v>102</v>
      </c>
    </row>
    <row r="21" ht="37.5" customHeight="1">
      <c r="A21" s="8" t="s">
        <v>105</v>
      </c>
      <c r="B21" s="8" t="s">
        <v>107</v>
      </c>
      <c r="C21" s="8" t="s">
        <v>109</v>
      </c>
    </row>
    <row r="22" ht="37.5" customHeight="1">
      <c r="A22" s="8" t="s">
        <v>111</v>
      </c>
      <c r="B22" s="8" t="s">
        <v>112</v>
      </c>
      <c r="C22" s="8" t="s">
        <v>115</v>
      </c>
    </row>
    <row r="23" ht="24.75" customHeight="1">
      <c r="A23" s="8" t="s">
        <v>117</v>
      </c>
      <c r="B23" s="8" t="s">
        <v>119</v>
      </c>
      <c r="C23" s="8" t="s">
        <v>121</v>
      </c>
    </row>
    <row r="24" ht="15.75" customHeight="1"/>
    <row r="25" ht="15.75" customHeight="1"/>
    <row r="26" ht="15.75" customHeight="1"/>
    <row r="27" ht="37.5" customHeight="1">
      <c r="A27" s="19" t="s">
        <v>124</v>
      </c>
    </row>
    <row r="28" ht="15.75" customHeight="1">
      <c r="A28" s="20" t="s">
        <v>128</v>
      </c>
      <c r="B28" s="20" t="s">
        <v>129</v>
      </c>
    </row>
    <row r="29" ht="15.75" customHeight="1">
      <c r="A29" s="20" t="s">
        <v>131</v>
      </c>
      <c r="B29" s="21" t="s">
        <v>132</v>
      </c>
    </row>
    <row r="30" ht="15.75" customHeight="1">
      <c r="A30" s="20" t="s">
        <v>139</v>
      </c>
      <c r="B30" s="22" t="s">
        <v>140</v>
      </c>
    </row>
    <row r="31" ht="15.75" customHeight="1">
      <c r="A31" s="20" t="s">
        <v>141</v>
      </c>
      <c r="B31" s="20" t="s">
        <v>142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ustomSheetViews>
    <customSheetView guid="{789FB43E-263A-4F49-85BA-852C2E08EE92}" filter="1" showAutoFilter="1">
      <autoFilter ref="$A$11:$C$23"/>
    </customSheetView>
  </customSheetViews>
  <mergeCells count="10">
    <mergeCell ref="B29:L29"/>
    <mergeCell ref="B30:L30"/>
    <mergeCell ref="B31:L31"/>
    <mergeCell ref="A1:L1"/>
    <mergeCell ref="A2:L2"/>
    <mergeCell ref="A3:L3"/>
    <mergeCell ref="A5:L5"/>
    <mergeCell ref="A10:L10"/>
    <mergeCell ref="A27:L27"/>
    <mergeCell ref="B28:L28"/>
  </mergeCells>
  <hyperlinks>
    <hyperlink r:id="rId1" ref="B29"/>
  </hyperlinks>
  <printOptions/>
  <pageMargins bottom="0.4" footer="0.0" header="0.0" left="0.25" right="0.25" top="0.4"/>
  <pageSetup fitToHeight="0"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75B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14"/>
    <col customWidth="1" min="2" max="2" width="162.0"/>
    <col customWidth="1" min="3" max="3" width="73.0"/>
    <col customWidth="1" min="4" max="5" width="30.0"/>
    <col customWidth="1" min="6" max="12" width="24.0"/>
    <col customWidth="1" min="13" max="26" width="8.71"/>
  </cols>
  <sheetData>
    <row r="1" ht="33.75" customHeight="1">
      <c r="A1" s="1" t="s">
        <v>0</v>
      </c>
      <c r="B1" s="2"/>
      <c r="C1" s="2"/>
      <c r="D1" s="2"/>
      <c r="E1" s="2"/>
      <c r="F1" s="2"/>
      <c r="G1" s="2"/>
      <c r="H1" s="2"/>
      <c r="I1" s="2"/>
      <c r="J1" s="2"/>
      <c r="K1" s="2"/>
      <c r="L1" s="3"/>
    </row>
    <row r="2" ht="51.75" customHeight="1">
      <c r="A2" s="4" t="s">
        <v>1</v>
      </c>
    </row>
    <row r="3" ht="51.75" customHeight="1">
      <c r="A3" s="5" t="s">
        <v>2</v>
      </c>
      <c r="B3" s="2"/>
      <c r="C3" s="2"/>
      <c r="D3" s="2"/>
      <c r="E3" s="2"/>
      <c r="F3" s="2"/>
      <c r="G3" s="2"/>
      <c r="H3" s="2"/>
      <c r="I3" s="2"/>
      <c r="J3" s="2"/>
      <c r="K3" s="2"/>
      <c r="L3" s="3"/>
    </row>
    <row r="5" ht="24.0" customHeight="1">
      <c r="A5" s="6" t="s">
        <v>3</v>
      </c>
      <c r="B5" s="2"/>
      <c r="C5" s="2"/>
      <c r="D5" s="2"/>
      <c r="E5" s="2"/>
      <c r="F5" s="2"/>
      <c r="G5" s="2"/>
      <c r="H5" s="2"/>
      <c r="I5" s="2"/>
      <c r="J5" s="2"/>
      <c r="K5" s="2"/>
      <c r="L5" s="3"/>
    </row>
    <row r="6" ht="27.75" customHeight="1">
      <c r="A6" s="7" t="s">
        <v>4</v>
      </c>
      <c r="B6" s="7" t="s">
        <v>5</v>
      </c>
    </row>
    <row r="7" ht="24.75" customHeight="1">
      <c r="A7" s="8" t="s">
        <v>6</v>
      </c>
      <c r="B7" s="8" t="s">
        <v>7</v>
      </c>
    </row>
    <row r="8" ht="24.75" customHeight="1">
      <c r="A8" s="8" t="s">
        <v>8</v>
      </c>
      <c r="B8" s="8" t="s">
        <v>9</v>
      </c>
    </row>
    <row r="9" ht="24.75" customHeight="1">
      <c r="A9" s="8" t="s">
        <v>10</v>
      </c>
      <c r="B9" s="8" t="s">
        <v>11</v>
      </c>
    </row>
    <row r="10" ht="24.75" customHeight="1">
      <c r="A10" s="8" t="s">
        <v>12</v>
      </c>
      <c r="B10" s="8" t="s">
        <v>13</v>
      </c>
    </row>
    <row r="11" ht="37.5" customHeight="1">
      <c r="A11" s="8" t="s">
        <v>14</v>
      </c>
      <c r="B11" s="9" t="s">
        <v>15</v>
      </c>
    </row>
    <row r="12" ht="69.75" customHeight="1">
      <c r="A12" s="8" t="s">
        <v>16</v>
      </c>
      <c r="B12" s="8" t="s">
        <v>17</v>
      </c>
    </row>
    <row r="14" ht="24.0" customHeight="1">
      <c r="A14" s="6" t="s">
        <v>18</v>
      </c>
      <c r="B14" s="2"/>
      <c r="C14" s="2"/>
      <c r="D14" s="2"/>
      <c r="E14" s="2"/>
      <c r="F14" s="2"/>
      <c r="G14" s="2"/>
      <c r="H14" s="2"/>
      <c r="I14" s="2"/>
      <c r="J14" s="2"/>
      <c r="K14" s="2"/>
      <c r="L14" s="3"/>
    </row>
    <row r="15" ht="27.75" customHeight="1">
      <c r="A15" s="7" t="s">
        <v>19</v>
      </c>
      <c r="B15" s="7" t="s">
        <v>20</v>
      </c>
    </row>
    <row r="16" ht="69.75" customHeight="1">
      <c r="A16" s="8" t="s">
        <v>21</v>
      </c>
      <c r="B16" s="8" t="s">
        <v>22</v>
      </c>
    </row>
    <row r="17" ht="51.75" customHeight="1">
      <c r="A17" s="8" t="s">
        <v>23</v>
      </c>
      <c r="B17" s="8" t="s">
        <v>24</v>
      </c>
    </row>
    <row r="18" ht="69.75" customHeight="1">
      <c r="A18" s="8" t="s">
        <v>25</v>
      </c>
      <c r="B18" s="8" t="s">
        <v>26</v>
      </c>
    </row>
    <row r="19" ht="51.75" customHeight="1">
      <c r="A19" s="8" t="s">
        <v>27</v>
      </c>
      <c r="B19" s="8" t="s">
        <v>28</v>
      </c>
    </row>
    <row r="20" ht="51.75" customHeight="1">
      <c r="A20" s="8" t="s">
        <v>29</v>
      </c>
      <c r="B20" s="8" t="s">
        <v>30</v>
      </c>
    </row>
    <row r="21" ht="15.75" customHeight="1"/>
    <row r="22" ht="24.0" customHeight="1">
      <c r="A22" s="6" t="s">
        <v>31</v>
      </c>
      <c r="B22" s="2"/>
      <c r="C22" s="2"/>
      <c r="D22" s="2"/>
      <c r="E22" s="2"/>
      <c r="F22" s="2"/>
      <c r="G22" s="2"/>
      <c r="H22" s="2"/>
      <c r="I22" s="2"/>
      <c r="J22" s="2"/>
      <c r="K22" s="2"/>
      <c r="L22" s="3"/>
    </row>
    <row r="23" ht="27.75" customHeight="1">
      <c r="A23" s="7" t="s">
        <v>32</v>
      </c>
      <c r="B23" s="7" t="s">
        <v>19</v>
      </c>
      <c r="C23" s="7" t="s">
        <v>33</v>
      </c>
    </row>
    <row r="24" ht="24.75" customHeight="1">
      <c r="A24" s="8" t="s">
        <v>34</v>
      </c>
      <c r="B24" s="8" t="s">
        <v>35</v>
      </c>
      <c r="C24" s="8" t="s">
        <v>36</v>
      </c>
    </row>
    <row r="25" ht="24.75" customHeight="1">
      <c r="A25" s="8" t="s">
        <v>37</v>
      </c>
      <c r="B25" s="8" t="s">
        <v>38</v>
      </c>
      <c r="C25" s="8" t="s">
        <v>39</v>
      </c>
    </row>
    <row r="26" ht="37.5" customHeight="1">
      <c r="A26" s="8" t="s">
        <v>40</v>
      </c>
      <c r="B26" s="8" t="s">
        <v>41</v>
      </c>
      <c r="C26" s="8" t="s">
        <v>42</v>
      </c>
    </row>
    <row r="27" ht="24.75" customHeight="1">
      <c r="A27" s="8" t="s">
        <v>43</v>
      </c>
      <c r="B27" s="8" t="s">
        <v>44</v>
      </c>
      <c r="C27" s="8" t="s">
        <v>45</v>
      </c>
    </row>
    <row r="28" ht="24.75" customHeight="1">
      <c r="A28" s="8" t="s">
        <v>46</v>
      </c>
      <c r="B28" s="8" t="s">
        <v>47</v>
      </c>
      <c r="C28" s="8" t="s">
        <v>48</v>
      </c>
    </row>
    <row r="29" ht="15.75" customHeight="1"/>
    <row r="30" ht="15.75" customHeight="1"/>
    <row r="31" ht="24.0" customHeight="1">
      <c r="A31" s="10" t="s">
        <v>49</v>
      </c>
      <c r="B31" s="2"/>
      <c r="C31" s="2"/>
      <c r="D31" s="2"/>
      <c r="E31" s="2"/>
      <c r="F31" s="2"/>
      <c r="G31" s="2"/>
      <c r="H31" s="2"/>
      <c r="I31" s="2"/>
      <c r="J31" s="2"/>
      <c r="K31" s="2"/>
      <c r="L31" s="3"/>
    </row>
    <row r="32" ht="90.0" customHeight="1">
      <c r="A32" s="11" t="s">
        <v>50</v>
      </c>
      <c r="B32" s="12"/>
      <c r="C32" s="12"/>
      <c r="D32" s="12"/>
      <c r="E32" s="12"/>
      <c r="F32" s="12"/>
      <c r="G32" s="12"/>
      <c r="H32" s="12"/>
      <c r="I32" s="12"/>
      <c r="J32" s="12"/>
      <c r="K32" s="12"/>
      <c r="L32" s="1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ED11388-06FA-463E-8D16-8EDE982F008E}" filter="1" showAutoFilter="1">
      <autoFilter ref="$A$15:$B$20"/>
    </customSheetView>
    <customSheetView guid="{BFE80DFB-4A79-4E92-A37E-E54DC636B208}" filter="1" showAutoFilter="1">
      <autoFilter ref="$A$6:$B$12"/>
    </customSheetView>
    <customSheetView guid="{0BE951D1-A425-49D1-B500-6C8C30B56588}" filter="1" showAutoFilter="1">
      <autoFilter ref="$A$23:$C$28"/>
    </customSheetView>
  </customSheetViews>
  <mergeCells count="8">
    <mergeCell ref="A1:L1"/>
    <mergeCell ref="A2:L2"/>
    <mergeCell ref="A3:L3"/>
    <mergeCell ref="A5:L5"/>
    <mergeCell ref="A14:L14"/>
    <mergeCell ref="A22:L22"/>
    <mergeCell ref="A31:L31"/>
    <mergeCell ref="A32:L32"/>
  </mergeCells>
  <hyperlinks>
    <hyperlink r:id="rId1" ref="B11"/>
  </hyperlinks>
  <printOptions/>
  <pageMargins bottom="0.4" footer="0.0" header="0.0" left="0.25" right="0.25" top="0.4"/>
  <pageSetup fitToHeight="0" orientation="landscape"/>
  <drawing r:id="rId2"/>
  <tableParts count="3">
    <tablePart r:id="rId6"/>
    <tablePart r:id="rId7"/>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8F83"/>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45.0"/>
    <col customWidth="1" min="3" max="3" width="53.0"/>
    <col customWidth="1" min="4" max="4" width="22.0"/>
    <col customWidth="1" min="5" max="5" width="24.0"/>
    <col customWidth="1" min="6" max="6" width="28.0"/>
    <col customWidth="1" min="7" max="12" width="24.0"/>
    <col customWidth="1" min="13" max="26" width="8.71"/>
  </cols>
  <sheetData>
    <row r="1" ht="33.75" customHeight="1">
      <c r="A1" s="1" t="s">
        <v>90</v>
      </c>
      <c r="B1" s="2"/>
      <c r="C1" s="2"/>
      <c r="D1" s="2"/>
      <c r="E1" s="2"/>
      <c r="F1" s="2"/>
      <c r="G1" s="2"/>
      <c r="H1" s="2"/>
      <c r="I1" s="2"/>
      <c r="J1" s="2"/>
      <c r="K1" s="2"/>
      <c r="L1" s="3"/>
    </row>
    <row r="2" ht="51.75" customHeight="1">
      <c r="A2" s="4" t="s">
        <v>99</v>
      </c>
    </row>
    <row r="3" ht="69.75" customHeight="1">
      <c r="A3" s="5" t="s">
        <v>103</v>
      </c>
      <c r="B3" s="2"/>
      <c r="C3" s="2"/>
      <c r="D3" s="2"/>
      <c r="E3" s="2"/>
      <c r="F3" s="2"/>
      <c r="G3" s="2"/>
      <c r="H3" s="2"/>
      <c r="I3" s="2"/>
      <c r="J3" s="2"/>
      <c r="K3" s="2"/>
      <c r="L3" s="3"/>
    </row>
    <row r="5" ht="24.0" customHeight="1">
      <c r="A5" s="6" t="s">
        <v>114</v>
      </c>
      <c r="B5" s="2"/>
      <c r="C5" s="2"/>
      <c r="D5" s="2"/>
      <c r="E5" s="2"/>
      <c r="F5" s="2"/>
      <c r="G5" s="2"/>
      <c r="H5" s="2"/>
      <c r="I5" s="2"/>
      <c r="J5" s="2"/>
      <c r="K5" s="2"/>
      <c r="L5" s="3"/>
    </row>
    <row r="6" ht="27.75" customHeight="1">
      <c r="A6" s="7" t="s">
        <v>123</v>
      </c>
      <c r="B6" s="7" t="s">
        <v>127</v>
      </c>
      <c r="C6" s="7" t="s">
        <v>133</v>
      </c>
    </row>
    <row r="7" ht="24.75" customHeight="1">
      <c r="A7" s="8" t="s">
        <v>136</v>
      </c>
      <c r="B7" s="8" t="s">
        <v>137</v>
      </c>
      <c r="C7" s="8" t="s">
        <v>138</v>
      </c>
    </row>
    <row r="8" ht="24.75" customHeight="1">
      <c r="A8" s="8" t="s">
        <v>143</v>
      </c>
      <c r="B8" s="8" t="s">
        <v>145</v>
      </c>
      <c r="C8" s="8" t="s">
        <v>138</v>
      </c>
    </row>
    <row r="9" ht="24.75" customHeight="1">
      <c r="A9" s="8" t="s">
        <v>148</v>
      </c>
      <c r="B9" s="8" t="s">
        <v>11</v>
      </c>
      <c r="C9" s="8" t="s">
        <v>150</v>
      </c>
    </row>
    <row r="10" ht="37.5" customHeight="1">
      <c r="A10" s="8" t="s">
        <v>152</v>
      </c>
      <c r="B10" s="8" t="s">
        <v>153</v>
      </c>
      <c r="C10" s="8" t="s">
        <v>155</v>
      </c>
    </row>
    <row r="11" ht="24.75" customHeight="1">
      <c r="A11" s="8" t="s">
        <v>156</v>
      </c>
      <c r="B11" s="8" t="s">
        <v>158</v>
      </c>
      <c r="C11" s="8" t="s">
        <v>138</v>
      </c>
    </row>
    <row r="12" ht="24.75" customHeight="1">
      <c r="A12" s="8" t="s">
        <v>161</v>
      </c>
      <c r="B12" s="8" t="s">
        <v>162</v>
      </c>
      <c r="C12" s="8" t="s">
        <v>163</v>
      </c>
    </row>
    <row r="13" ht="24.75" customHeight="1">
      <c r="A13" s="8" t="s">
        <v>164</v>
      </c>
      <c r="B13" s="8" t="s">
        <v>165</v>
      </c>
      <c r="C13" s="8" t="s">
        <v>138</v>
      </c>
    </row>
    <row r="14" ht="24.75" customHeight="1">
      <c r="A14" s="8" t="s">
        <v>167</v>
      </c>
      <c r="B14" s="8" t="s">
        <v>168</v>
      </c>
      <c r="C14" s="8" t="s">
        <v>138</v>
      </c>
    </row>
    <row r="17" ht="24.0" customHeight="1">
      <c r="A17" s="6" t="s">
        <v>171</v>
      </c>
      <c r="B17" s="2"/>
      <c r="C17" s="2"/>
      <c r="D17" s="2"/>
      <c r="E17" s="2"/>
      <c r="F17" s="2"/>
      <c r="G17" s="2"/>
      <c r="H17" s="2"/>
      <c r="I17" s="2"/>
      <c r="J17" s="2"/>
      <c r="K17" s="2"/>
      <c r="L17" s="3"/>
    </row>
    <row r="18" ht="27.75" customHeight="1">
      <c r="A18" s="7" t="s">
        <v>173</v>
      </c>
      <c r="B18" s="7" t="s">
        <v>174</v>
      </c>
    </row>
    <row r="19" ht="69.75" customHeight="1">
      <c r="A19" s="8" t="s">
        <v>176</v>
      </c>
      <c r="B19" s="8" t="s">
        <v>178</v>
      </c>
    </row>
    <row r="20" ht="69.75" customHeight="1">
      <c r="A20" s="8" t="s">
        <v>179</v>
      </c>
      <c r="B20" s="8" t="s">
        <v>181</v>
      </c>
    </row>
    <row r="21" ht="69.75" customHeight="1">
      <c r="A21" s="8" t="s">
        <v>182</v>
      </c>
      <c r="B21" s="8" t="s">
        <v>184</v>
      </c>
    </row>
    <row r="22" ht="69.75" customHeight="1">
      <c r="A22" s="8" t="s">
        <v>186</v>
      </c>
      <c r="B22" s="8" t="s">
        <v>187</v>
      </c>
    </row>
    <row r="23" ht="15.75" customHeight="1"/>
    <row r="24" ht="24.0" customHeight="1">
      <c r="A24" s="6" t="s">
        <v>188</v>
      </c>
      <c r="B24" s="2"/>
      <c r="C24" s="2"/>
      <c r="D24" s="2"/>
      <c r="E24" s="2"/>
      <c r="F24" s="2"/>
      <c r="G24" s="2"/>
      <c r="H24" s="2"/>
      <c r="I24" s="2"/>
      <c r="J24" s="2"/>
      <c r="K24" s="2"/>
      <c r="L24" s="3"/>
    </row>
    <row r="25" ht="27.75" customHeight="1">
      <c r="A25" s="7" t="s">
        <v>192</v>
      </c>
      <c r="B25" s="7" t="s">
        <v>195</v>
      </c>
      <c r="C25" s="7" t="s">
        <v>197</v>
      </c>
    </row>
    <row r="26" ht="24.75" customHeight="1">
      <c r="A26" s="8" t="s">
        <v>199</v>
      </c>
      <c r="B26" s="8" t="s">
        <v>200</v>
      </c>
      <c r="C26" s="8" t="s">
        <v>201</v>
      </c>
    </row>
    <row r="27" ht="24.75" customHeight="1">
      <c r="A27" s="8" t="s">
        <v>156</v>
      </c>
      <c r="B27" s="8" t="s">
        <v>205</v>
      </c>
      <c r="C27" s="8" t="s">
        <v>208</v>
      </c>
    </row>
    <row r="28" ht="24.75" customHeight="1">
      <c r="A28" s="8" t="s">
        <v>210</v>
      </c>
      <c r="B28" s="8" t="s">
        <v>212</v>
      </c>
      <c r="C28" s="8" t="s">
        <v>215</v>
      </c>
    </row>
    <row r="29" ht="24.75" customHeight="1">
      <c r="A29" s="8" t="s">
        <v>218</v>
      </c>
      <c r="B29" s="8" t="s">
        <v>221</v>
      </c>
      <c r="C29" s="8" t="s">
        <v>224</v>
      </c>
    </row>
    <row r="30" ht="24.75" customHeight="1">
      <c r="A30" s="8" t="s">
        <v>226</v>
      </c>
      <c r="B30" s="8" t="s">
        <v>227</v>
      </c>
      <c r="C30" s="8" t="s">
        <v>230</v>
      </c>
    </row>
    <row r="31" ht="37.5" customHeight="1">
      <c r="A31" s="8" t="s">
        <v>233</v>
      </c>
      <c r="B31" s="8" t="s">
        <v>236</v>
      </c>
      <c r="C31" s="8" t="s">
        <v>239</v>
      </c>
    </row>
    <row r="32" ht="15.75" customHeight="1"/>
    <row r="33" ht="24.0" customHeight="1">
      <c r="A33" s="24" t="s">
        <v>243</v>
      </c>
      <c r="B33" s="2"/>
      <c r="C33" s="2"/>
      <c r="D33" s="2"/>
      <c r="E33" s="2"/>
      <c r="F33" s="2"/>
      <c r="G33" s="2"/>
      <c r="H33" s="2"/>
      <c r="I33" s="2"/>
      <c r="J33" s="2"/>
      <c r="K33" s="2"/>
      <c r="L33" s="3"/>
    </row>
    <row r="34" ht="90.0" customHeight="1">
      <c r="A34" s="11" t="s">
        <v>250</v>
      </c>
      <c r="B34" s="12"/>
      <c r="C34" s="12"/>
      <c r="D34" s="12"/>
      <c r="E34" s="12"/>
      <c r="F34" s="12"/>
      <c r="G34" s="12"/>
      <c r="H34" s="12"/>
      <c r="I34" s="12"/>
      <c r="J34" s="12"/>
      <c r="K34" s="12"/>
      <c r="L34" s="13"/>
    </row>
    <row r="35" ht="15.75" customHeight="1"/>
    <row r="36" ht="15.75" customHeight="1">
      <c r="A36" s="20" t="s">
        <v>254</v>
      </c>
    </row>
    <row r="37" ht="15.75" customHeight="1">
      <c r="A37" s="20" t="s">
        <v>123</v>
      </c>
      <c r="B37" s="20" t="s">
        <v>127</v>
      </c>
      <c r="C37" s="20" t="s">
        <v>133</v>
      </c>
    </row>
    <row r="38" ht="15.75" customHeight="1">
      <c r="A38" s="20" t="s">
        <v>257</v>
      </c>
      <c r="B38" s="20" t="s">
        <v>258</v>
      </c>
      <c r="C38" s="20" t="s">
        <v>259</v>
      </c>
    </row>
    <row r="39" ht="15.75" customHeight="1">
      <c r="A39" s="20" t="s">
        <v>260</v>
      </c>
      <c r="B39" s="20" t="s">
        <v>261</v>
      </c>
      <c r="C39" s="20" t="s">
        <v>262</v>
      </c>
    </row>
    <row r="40" ht="15.75" customHeight="1">
      <c r="A40" s="20" t="s">
        <v>263</v>
      </c>
      <c r="B40" s="20" t="s">
        <v>264</v>
      </c>
      <c r="C40" s="20" t="s">
        <v>265</v>
      </c>
    </row>
    <row r="41" ht="15.75" customHeight="1">
      <c r="A41" s="20" t="s">
        <v>266</v>
      </c>
      <c r="B41" s="20" t="s">
        <v>267</v>
      </c>
      <c r="C41" s="20" t="s">
        <v>269</v>
      </c>
    </row>
    <row r="42" ht="15.75" customHeight="1">
      <c r="A42" s="20" t="s">
        <v>270</v>
      </c>
      <c r="B42" s="20" t="s">
        <v>271</v>
      </c>
      <c r="C42" s="20" t="s">
        <v>272</v>
      </c>
    </row>
    <row r="43" ht="15.75" customHeight="1">
      <c r="A43" s="20" t="s">
        <v>210</v>
      </c>
      <c r="B43" s="20" t="s">
        <v>273</v>
      </c>
      <c r="C43" s="20" t="s">
        <v>274</v>
      </c>
    </row>
    <row r="44" ht="15.75" customHeight="1">
      <c r="A44" s="20" t="s">
        <v>275</v>
      </c>
      <c r="B44" s="20" t="s">
        <v>276</v>
      </c>
      <c r="C44" s="20" t="s">
        <v>277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40DDED2-1286-41D5-86EE-5A6651E1B9F3}" filter="1" showAutoFilter="1">
      <autoFilter ref="$A$25:$C$31"/>
    </customSheetView>
    <customSheetView guid="{3A98AC79-1933-47B1-BD3A-DB26AD7443A6}" filter="1" showAutoFilter="1">
      <autoFilter ref="$A$18:$B$22"/>
    </customSheetView>
    <customSheetView guid="{637090D6-88C8-462D-BDD9-645AC171862C}" filter="1" showAutoFilter="1">
      <autoFilter ref="$A$6:$C$14"/>
    </customSheetView>
  </customSheetViews>
  <mergeCells count="9">
    <mergeCell ref="A34:L34"/>
    <mergeCell ref="A36:L36"/>
    <mergeCell ref="A1:L1"/>
    <mergeCell ref="A2:L2"/>
    <mergeCell ref="A3:L3"/>
    <mergeCell ref="A5:L5"/>
    <mergeCell ref="A17:L17"/>
    <mergeCell ref="A24:L24"/>
    <mergeCell ref="A33:L33"/>
  </mergeCells>
  <printOptions/>
  <pageMargins bottom="0.4" footer="0.0" header="0.0" left="0.25" right="0.25" top="0.4"/>
  <pageSetup fitToHeight="0" orientation="landscape"/>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183"/>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4" width="31.0"/>
    <col customWidth="1" min="5" max="5" width="22.0"/>
    <col customWidth="1" min="6" max="6" width="26.0"/>
    <col customWidth="1" min="7" max="8" width="28.0"/>
    <col customWidth="1" min="9" max="12" width="24.0"/>
    <col customWidth="1" min="13" max="26" width="8.71"/>
  </cols>
  <sheetData>
    <row r="1" ht="33.75" customHeight="1">
      <c r="A1" s="1" t="s">
        <v>62</v>
      </c>
      <c r="B1" s="2"/>
      <c r="C1" s="2"/>
      <c r="D1" s="2"/>
      <c r="E1" s="2"/>
      <c r="F1" s="2"/>
      <c r="G1" s="2"/>
      <c r="H1" s="2"/>
      <c r="I1" s="2"/>
      <c r="J1" s="2"/>
      <c r="K1" s="2"/>
      <c r="L1" s="3"/>
    </row>
    <row r="2" ht="51.75" customHeight="1">
      <c r="A2" s="4" t="s">
        <v>66</v>
      </c>
    </row>
    <row r="3" ht="51.75" customHeight="1">
      <c r="A3" s="5" t="s">
        <v>68</v>
      </c>
      <c r="B3" s="2"/>
      <c r="C3" s="2"/>
      <c r="D3" s="2"/>
      <c r="E3" s="2"/>
      <c r="F3" s="2"/>
      <c r="G3" s="2"/>
      <c r="H3" s="2"/>
      <c r="I3" s="2"/>
      <c r="J3" s="2"/>
      <c r="K3" s="2"/>
      <c r="L3" s="3"/>
    </row>
    <row r="5" ht="24.0" customHeight="1">
      <c r="A5" s="6" t="s">
        <v>71</v>
      </c>
      <c r="B5" s="2"/>
      <c r="C5" s="2"/>
      <c r="D5" s="2"/>
      <c r="E5" s="2"/>
      <c r="F5" s="2"/>
      <c r="G5" s="2"/>
      <c r="H5" s="2"/>
      <c r="I5" s="2"/>
      <c r="J5" s="2"/>
      <c r="K5" s="2"/>
      <c r="L5" s="3"/>
    </row>
    <row r="6" ht="27.75" customHeight="1">
      <c r="A6" s="7" t="s">
        <v>77</v>
      </c>
      <c r="B6" s="7" t="s">
        <v>82</v>
      </c>
    </row>
    <row r="7" ht="37.5" customHeight="1">
      <c r="A7" s="8" t="s">
        <v>85</v>
      </c>
      <c r="B7" s="8" t="s">
        <v>97</v>
      </c>
    </row>
    <row r="8" ht="24.75" customHeight="1">
      <c r="A8" s="8" t="s">
        <v>101</v>
      </c>
      <c r="B8" s="8" t="s">
        <v>104</v>
      </c>
    </row>
    <row r="9" ht="24.75" customHeight="1">
      <c r="A9" s="8" t="s">
        <v>106</v>
      </c>
      <c r="B9" s="8" t="s">
        <v>108</v>
      </c>
    </row>
    <row r="10" ht="24.75" customHeight="1">
      <c r="A10" s="8" t="s">
        <v>110</v>
      </c>
      <c r="B10" s="8" t="s">
        <v>113</v>
      </c>
    </row>
    <row r="11" ht="37.5" customHeight="1">
      <c r="A11" s="8" t="s">
        <v>116</v>
      </c>
      <c r="B11" s="8" t="s">
        <v>118</v>
      </c>
    </row>
    <row r="12" ht="69.75" customHeight="1">
      <c r="A12" s="8" t="s">
        <v>120</v>
      </c>
      <c r="B12" s="8" t="s">
        <v>122</v>
      </c>
    </row>
    <row r="13" ht="69.75" customHeight="1">
      <c r="A13" s="8" t="s">
        <v>125</v>
      </c>
      <c r="B13" s="8" t="s">
        <v>126</v>
      </c>
    </row>
    <row r="14" ht="37.5" customHeight="1">
      <c r="A14" s="8" t="s">
        <v>130</v>
      </c>
      <c r="B14" s="8" t="s">
        <v>134</v>
      </c>
    </row>
    <row r="16" ht="24.0" customHeight="1">
      <c r="A16" s="6" t="s">
        <v>135</v>
      </c>
      <c r="B16" s="2"/>
      <c r="C16" s="2"/>
      <c r="D16" s="2"/>
      <c r="E16" s="2"/>
      <c r="F16" s="2"/>
      <c r="G16" s="2"/>
      <c r="H16" s="2"/>
      <c r="I16" s="2"/>
      <c r="J16" s="2"/>
      <c r="K16" s="2"/>
      <c r="L16" s="3"/>
    </row>
    <row r="17" ht="27.75" customHeight="1">
      <c r="A17" s="7" t="s">
        <v>77</v>
      </c>
      <c r="B17" s="7" t="s">
        <v>82</v>
      </c>
    </row>
    <row r="18" ht="51.75" customHeight="1">
      <c r="A18" s="8" t="s">
        <v>85</v>
      </c>
      <c r="B18" s="8" t="s">
        <v>144</v>
      </c>
    </row>
    <row r="19" ht="24.75" customHeight="1">
      <c r="A19" s="8" t="s">
        <v>101</v>
      </c>
      <c r="B19" s="8" t="s">
        <v>146</v>
      </c>
    </row>
    <row r="20" ht="24.75" customHeight="1">
      <c r="A20" s="8" t="s">
        <v>106</v>
      </c>
      <c r="B20" s="8" t="s">
        <v>147</v>
      </c>
    </row>
    <row r="21" ht="24.75" customHeight="1">
      <c r="A21" s="8" t="s">
        <v>110</v>
      </c>
      <c r="B21" s="8" t="s">
        <v>149</v>
      </c>
    </row>
    <row r="22" ht="37.5" customHeight="1">
      <c r="A22" s="8" t="s">
        <v>116</v>
      </c>
      <c r="B22" s="8" t="s">
        <v>151</v>
      </c>
    </row>
    <row r="23" ht="69.75" customHeight="1">
      <c r="A23" s="8" t="s">
        <v>120</v>
      </c>
      <c r="B23" s="8" t="s">
        <v>154</v>
      </c>
    </row>
    <row r="24" ht="51.75" customHeight="1">
      <c r="A24" s="8" t="s">
        <v>125</v>
      </c>
      <c r="B24" s="8" t="s">
        <v>157</v>
      </c>
    </row>
    <row r="25" ht="37.5" customHeight="1">
      <c r="A25" s="8" t="s">
        <v>130</v>
      </c>
      <c r="B25" s="8" t="s">
        <v>159</v>
      </c>
    </row>
    <row r="26" ht="15.75" customHeight="1"/>
    <row r="27" ht="24.0" customHeight="1">
      <c r="A27" s="6" t="s">
        <v>160</v>
      </c>
      <c r="B27" s="2"/>
      <c r="C27" s="2"/>
      <c r="D27" s="2"/>
      <c r="E27" s="2"/>
      <c r="F27" s="2"/>
      <c r="G27" s="2"/>
      <c r="H27" s="2"/>
      <c r="I27" s="2"/>
      <c r="J27" s="2"/>
      <c r="K27" s="2"/>
      <c r="L27" s="3"/>
    </row>
    <row r="28" ht="27.75" customHeight="1">
      <c r="A28" s="7" t="s">
        <v>77</v>
      </c>
      <c r="B28" s="7" t="s">
        <v>82</v>
      </c>
    </row>
    <row r="29" ht="51.75" customHeight="1">
      <c r="A29" s="8" t="s">
        <v>85</v>
      </c>
      <c r="B29" s="8" t="s">
        <v>166</v>
      </c>
    </row>
    <row r="30" ht="37.5" customHeight="1">
      <c r="A30" s="8" t="s">
        <v>101</v>
      </c>
      <c r="B30" s="8" t="s">
        <v>169</v>
      </c>
    </row>
    <row r="31" ht="24.75" customHeight="1">
      <c r="A31" s="8" t="s">
        <v>106</v>
      </c>
      <c r="B31" s="8" t="s">
        <v>170</v>
      </c>
    </row>
    <row r="32" ht="24.75" customHeight="1">
      <c r="A32" s="8" t="s">
        <v>110</v>
      </c>
      <c r="B32" s="8" t="s">
        <v>172</v>
      </c>
    </row>
    <row r="33" ht="37.5" customHeight="1">
      <c r="A33" s="8" t="s">
        <v>116</v>
      </c>
      <c r="B33" s="8" t="s">
        <v>175</v>
      </c>
    </row>
    <row r="34" ht="51.75" customHeight="1">
      <c r="A34" s="8" t="s">
        <v>120</v>
      </c>
      <c r="B34" s="8" t="s">
        <v>177</v>
      </c>
    </row>
    <row r="35" ht="69.75" customHeight="1">
      <c r="A35" s="8" t="s">
        <v>125</v>
      </c>
      <c r="B35" s="8" t="s">
        <v>180</v>
      </c>
    </row>
    <row r="36" ht="37.5" customHeight="1">
      <c r="A36" s="8" t="s">
        <v>130</v>
      </c>
      <c r="B36" s="8" t="s">
        <v>183</v>
      </c>
    </row>
    <row r="37" ht="15.75" customHeight="1"/>
    <row r="38" ht="24.0" customHeight="1">
      <c r="A38" s="6" t="s">
        <v>185</v>
      </c>
      <c r="B38" s="2"/>
      <c r="C38" s="2"/>
      <c r="D38" s="2"/>
      <c r="E38" s="2"/>
      <c r="F38" s="2"/>
      <c r="G38" s="2"/>
      <c r="H38" s="2"/>
      <c r="I38" s="2"/>
      <c r="J38" s="2"/>
      <c r="K38" s="2"/>
      <c r="L38" s="3"/>
    </row>
    <row r="39" ht="27.75" customHeight="1">
      <c r="A39" s="7" t="s">
        <v>190</v>
      </c>
      <c r="B39" s="7" t="s">
        <v>191</v>
      </c>
      <c r="C39" s="7" t="s">
        <v>193</v>
      </c>
      <c r="D39" s="7" t="s">
        <v>196</v>
      </c>
      <c r="E39" s="23"/>
      <c r="F39" s="23"/>
      <c r="G39" s="23"/>
      <c r="H39" s="23"/>
      <c r="I39" s="23"/>
      <c r="J39" s="23"/>
      <c r="K39" s="23"/>
      <c r="L39" s="23"/>
    </row>
    <row r="40" ht="24.75" customHeight="1">
      <c r="A40" s="8" t="s">
        <v>203</v>
      </c>
      <c r="B40" s="8" t="s">
        <v>204</v>
      </c>
      <c r="C40" s="8" t="s">
        <v>206</v>
      </c>
      <c r="D40" s="8" t="s">
        <v>209</v>
      </c>
      <c r="E40" s="23"/>
      <c r="F40" s="23"/>
      <c r="G40" s="23"/>
      <c r="H40" s="23"/>
      <c r="I40" s="23"/>
      <c r="J40" s="23"/>
      <c r="K40" s="23"/>
      <c r="L40" s="23"/>
    </row>
    <row r="41" ht="24.75" customHeight="1">
      <c r="A41" s="8" t="s">
        <v>213</v>
      </c>
      <c r="B41" s="8" t="s">
        <v>216</v>
      </c>
      <c r="C41" s="8" t="s">
        <v>220</v>
      </c>
      <c r="D41" s="8" t="s">
        <v>223</v>
      </c>
      <c r="E41" s="23"/>
      <c r="F41" s="23"/>
      <c r="G41" s="23"/>
      <c r="H41" s="23"/>
      <c r="I41" s="23"/>
      <c r="J41" s="23"/>
      <c r="K41" s="23"/>
      <c r="L41" s="23"/>
    </row>
    <row r="42" ht="24.75" customHeight="1">
      <c r="A42" s="8" t="s">
        <v>229</v>
      </c>
      <c r="B42" s="8" t="s">
        <v>232</v>
      </c>
      <c r="C42" s="8" t="s">
        <v>235</v>
      </c>
      <c r="D42" s="8" t="s">
        <v>238</v>
      </c>
      <c r="E42" s="23"/>
      <c r="F42" s="23"/>
      <c r="G42" s="23"/>
      <c r="H42" s="23"/>
      <c r="I42" s="23"/>
      <c r="J42" s="23"/>
      <c r="K42" s="23"/>
      <c r="L42" s="23"/>
    </row>
    <row r="43" ht="24.75" customHeight="1">
      <c r="A43" s="8" t="s">
        <v>241</v>
      </c>
      <c r="B43" s="8" t="s">
        <v>244</v>
      </c>
      <c r="C43" s="8" t="s">
        <v>246</v>
      </c>
      <c r="D43" s="8" t="s">
        <v>248</v>
      </c>
      <c r="E43" s="23"/>
      <c r="F43" s="23"/>
      <c r="G43" s="23"/>
      <c r="H43" s="23"/>
      <c r="I43" s="23"/>
      <c r="J43" s="23"/>
      <c r="K43" s="23"/>
      <c r="L43" s="23"/>
    </row>
    <row r="44" ht="24.75" customHeight="1">
      <c r="A44" s="8" t="s">
        <v>252</v>
      </c>
      <c r="B44" s="8" t="s">
        <v>253</v>
      </c>
      <c r="C44" s="8" t="s">
        <v>255</v>
      </c>
      <c r="D44" s="8" t="s">
        <v>256</v>
      </c>
      <c r="E44" s="23"/>
      <c r="F44" s="23"/>
      <c r="G44" s="23"/>
      <c r="H44" s="23"/>
      <c r="I44" s="23"/>
      <c r="J44" s="23"/>
      <c r="K44" s="23"/>
      <c r="L44" s="23"/>
    </row>
    <row r="45" ht="15.75" customHeight="1"/>
    <row r="46" ht="15.75" customHeight="1"/>
    <row r="47" ht="24.0" customHeight="1">
      <c r="A47" s="26" t="s">
        <v>268</v>
      </c>
      <c r="B47" s="2"/>
      <c r="C47" s="2"/>
      <c r="D47" s="2"/>
      <c r="E47" s="2"/>
      <c r="F47" s="2"/>
      <c r="G47" s="2"/>
      <c r="H47" s="2"/>
      <c r="I47" s="2"/>
      <c r="J47" s="2"/>
      <c r="K47" s="2"/>
      <c r="L47" s="3"/>
    </row>
    <row r="48" ht="90.0" customHeight="1">
      <c r="A48" s="11" t="s">
        <v>278</v>
      </c>
      <c r="B48" s="12"/>
      <c r="C48" s="12"/>
      <c r="D48" s="12"/>
      <c r="E48" s="12"/>
      <c r="F48" s="12"/>
      <c r="G48" s="12"/>
      <c r="H48" s="12"/>
      <c r="I48" s="12"/>
      <c r="J48" s="12"/>
      <c r="K48" s="12"/>
      <c r="L48" s="1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5EEA0BD-0B26-4451-9726-61DB2FC690C2}" filter="1" showAutoFilter="1">
      <autoFilter ref="$A$17:$B$25"/>
    </customSheetView>
    <customSheetView guid="{77893470-7C65-4711-9D4D-39BF41F40A64}" filter="1" showAutoFilter="1">
      <autoFilter ref="$A$6:$B$14"/>
    </customSheetView>
    <customSheetView guid="{3BBCABC4-D32D-4708-93DC-2B4006F9C54B}" filter="1" showAutoFilter="1">
      <autoFilter ref="$A$28:$B$36"/>
    </customSheetView>
    <customSheetView guid="{17ADB58E-FFB6-4CFD-9156-9B9B3525D0FA}" filter="1" showAutoFilter="1">
      <autoFilter ref="$A$39:$D$44"/>
    </customSheetView>
  </customSheetViews>
  <mergeCells count="9">
    <mergeCell ref="A47:L47"/>
    <mergeCell ref="A48:L48"/>
    <mergeCell ref="A1:L1"/>
    <mergeCell ref="A2:L2"/>
    <mergeCell ref="A3:L3"/>
    <mergeCell ref="A5:L5"/>
    <mergeCell ref="A16:L16"/>
    <mergeCell ref="A27:L27"/>
    <mergeCell ref="A38:L38"/>
  </mergeCells>
  <printOptions/>
  <pageMargins bottom="0.4" footer="0.0" header="0.0" left="0.25" right="0.25" top="0.4"/>
  <pageSetup fitToHeight="0"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30.0"/>
    <col customWidth="1" min="2" max="2" width="100.0"/>
    <col customWidth="1" min="3" max="3" width="19.0"/>
    <col customWidth="1" min="4" max="4" width="24.0"/>
    <col customWidth="1" min="5" max="5" width="13.0"/>
    <col customWidth="1" min="6" max="6" width="14.0"/>
    <col customWidth="1" min="7" max="7" width="12.0"/>
    <col customWidth="1" min="8" max="9" width="14.0"/>
    <col customWidth="1" min="10" max="10" width="15.0"/>
    <col customWidth="1" min="11" max="11" width="24.0"/>
    <col customWidth="1" min="12" max="12" width="32.0"/>
    <col customWidth="1" min="13" max="26" width="8.71"/>
  </cols>
  <sheetData>
    <row r="1" ht="33.75" customHeight="1">
      <c r="A1" s="1" t="s">
        <v>189</v>
      </c>
      <c r="B1" s="2"/>
      <c r="C1" s="2"/>
      <c r="D1" s="2"/>
      <c r="E1" s="2"/>
      <c r="F1" s="2"/>
      <c r="G1" s="2"/>
      <c r="H1" s="2"/>
      <c r="I1" s="2"/>
      <c r="J1" s="2"/>
      <c r="K1" s="2"/>
      <c r="L1" s="3"/>
    </row>
    <row r="2" ht="51.75" customHeight="1">
      <c r="A2" s="4" t="s">
        <v>194</v>
      </c>
    </row>
    <row r="3" ht="69.75" customHeight="1">
      <c r="A3" s="5" t="s">
        <v>198</v>
      </c>
      <c r="B3" s="2"/>
      <c r="C3" s="2"/>
      <c r="D3" s="2"/>
      <c r="E3" s="2"/>
      <c r="F3" s="2"/>
      <c r="G3" s="2"/>
      <c r="H3" s="2"/>
      <c r="I3" s="2"/>
      <c r="J3" s="2"/>
      <c r="K3" s="2"/>
      <c r="L3" s="3"/>
    </row>
    <row r="5" ht="24.0" customHeight="1">
      <c r="A5" s="6" t="s">
        <v>202</v>
      </c>
      <c r="B5" s="2"/>
      <c r="C5" s="2"/>
      <c r="D5" s="2"/>
      <c r="E5" s="2"/>
      <c r="F5" s="2"/>
      <c r="G5" s="2"/>
      <c r="H5" s="2"/>
      <c r="I5" s="2"/>
      <c r="J5" s="2"/>
      <c r="K5" s="2"/>
      <c r="L5" s="3"/>
    </row>
    <row r="6" ht="27.75" customHeight="1">
      <c r="A6" s="7" t="s">
        <v>207</v>
      </c>
      <c r="B6" s="7" t="s">
        <v>211</v>
      </c>
      <c r="C6" s="7" t="s">
        <v>214</v>
      </c>
      <c r="D6" s="7" t="s">
        <v>217</v>
      </c>
      <c r="E6" s="7" t="s">
        <v>219</v>
      </c>
      <c r="F6" s="7" t="s">
        <v>222</v>
      </c>
      <c r="G6" s="7" t="s">
        <v>225</v>
      </c>
      <c r="H6" s="7" t="s">
        <v>228</v>
      </c>
      <c r="I6" s="7" t="s">
        <v>231</v>
      </c>
      <c r="J6" s="7" t="s">
        <v>234</v>
      </c>
      <c r="K6" s="7" t="s">
        <v>237</v>
      </c>
      <c r="L6" s="7" t="s">
        <v>240</v>
      </c>
    </row>
    <row r="7" ht="24.75" customHeight="1">
      <c r="A7" s="8" t="s">
        <v>242</v>
      </c>
      <c r="B7" s="8" t="s">
        <v>245</v>
      </c>
      <c r="C7" s="8" t="s">
        <v>247</v>
      </c>
      <c r="D7" s="8" t="s">
        <v>249</v>
      </c>
      <c r="E7" s="8" t="s">
        <v>251</v>
      </c>
      <c r="F7" s="25">
        <v>32.61</v>
      </c>
      <c r="G7" s="27">
        <f t="shared" ref="G7:G27" si="1">F7/SUM($F$7:$F$27)</f>
        <v>0.09134453782</v>
      </c>
      <c r="H7" s="27">
        <v>0.21</v>
      </c>
      <c r="I7" s="27">
        <v>0.185</v>
      </c>
      <c r="J7" s="27">
        <v>0.31</v>
      </c>
      <c r="K7" s="8" t="s">
        <v>279</v>
      </c>
      <c r="L7" s="8" t="s">
        <v>280</v>
      </c>
    </row>
    <row r="8" ht="24.75" customHeight="1">
      <c r="A8" s="8" t="s">
        <v>281</v>
      </c>
      <c r="B8" s="8" t="s">
        <v>282</v>
      </c>
      <c r="C8" s="8" t="s">
        <v>247</v>
      </c>
      <c r="D8" s="8" t="s">
        <v>283</v>
      </c>
      <c r="E8" s="8" t="s">
        <v>251</v>
      </c>
      <c r="F8" s="25">
        <v>22.04</v>
      </c>
      <c r="G8" s="27">
        <f t="shared" si="1"/>
        <v>0.06173669468</v>
      </c>
      <c r="H8" s="27">
        <v>0.08</v>
      </c>
      <c r="I8" s="27">
        <v>0.092</v>
      </c>
      <c r="J8" s="27">
        <v>0.23</v>
      </c>
      <c r="K8" s="8" t="s">
        <v>279</v>
      </c>
      <c r="L8" s="8" t="s">
        <v>284</v>
      </c>
    </row>
    <row r="9" ht="24.75" customHeight="1">
      <c r="A9" s="8" t="s">
        <v>285</v>
      </c>
      <c r="B9" s="8" t="s">
        <v>287</v>
      </c>
      <c r="C9" s="8" t="s">
        <v>247</v>
      </c>
      <c r="D9" s="8" t="s">
        <v>288</v>
      </c>
      <c r="E9" s="8" t="s">
        <v>251</v>
      </c>
      <c r="F9" s="25">
        <v>18.7</v>
      </c>
      <c r="G9" s="27">
        <f t="shared" si="1"/>
        <v>0.05238095238</v>
      </c>
      <c r="H9" s="27">
        <v>0.18</v>
      </c>
      <c r="I9" s="27">
        <v>0.168</v>
      </c>
      <c r="J9" s="27">
        <v>0.24</v>
      </c>
      <c r="K9" s="8" t="s">
        <v>279</v>
      </c>
      <c r="L9" s="8" t="s">
        <v>284</v>
      </c>
    </row>
    <row r="10" ht="24.75" customHeight="1">
      <c r="A10" s="8" t="s">
        <v>292</v>
      </c>
      <c r="B10" s="8" t="s">
        <v>294</v>
      </c>
      <c r="C10" s="8" t="s">
        <v>295</v>
      </c>
      <c r="D10" s="8" t="s">
        <v>297</v>
      </c>
      <c r="E10" s="8" t="s">
        <v>299</v>
      </c>
      <c r="F10" s="25">
        <v>18.63</v>
      </c>
      <c r="G10" s="27">
        <f t="shared" si="1"/>
        <v>0.05218487395</v>
      </c>
      <c r="H10" s="27">
        <v>0.42</v>
      </c>
      <c r="I10" s="27">
        <v>0.28</v>
      </c>
      <c r="J10" s="27">
        <v>0.62</v>
      </c>
      <c r="K10" s="8" t="s">
        <v>305</v>
      </c>
      <c r="L10" s="8" t="s">
        <v>284</v>
      </c>
    </row>
    <row r="11" ht="24.75" customHeight="1">
      <c r="A11" s="8" t="s">
        <v>307</v>
      </c>
      <c r="B11" s="8" t="s">
        <v>309</v>
      </c>
      <c r="C11" s="8" t="s">
        <v>311</v>
      </c>
      <c r="D11" s="8" t="s">
        <v>312</v>
      </c>
      <c r="E11" s="8" t="s">
        <v>251</v>
      </c>
      <c r="F11" s="25">
        <v>15.45</v>
      </c>
      <c r="G11" s="27">
        <f t="shared" si="1"/>
        <v>0.04327731092</v>
      </c>
      <c r="H11" s="27">
        <v>0.16</v>
      </c>
      <c r="I11" s="27">
        <v>0.202</v>
      </c>
      <c r="J11" s="27">
        <v>0.26</v>
      </c>
      <c r="K11" s="8" t="s">
        <v>318</v>
      </c>
      <c r="L11" s="8" t="s">
        <v>284</v>
      </c>
    </row>
    <row r="12" ht="24.75" customHeight="1">
      <c r="A12" s="8" t="s">
        <v>321</v>
      </c>
      <c r="B12" s="8" t="s">
        <v>323</v>
      </c>
      <c r="C12" s="8" t="s">
        <v>247</v>
      </c>
      <c r="D12" s="8" t="s">
        <v>324</v>
      </c>
      <c r="E12" s="8" t="s">
        <v>251</v>
      </c>
      <c r="F12" s="25">
        <v>13.46</v>
      </c>
      <c r="G12" s="27">
        <f t="shared" si="1"/>
        <v>0.03770308123</v>
      </c>
      <c r="H12" s="27">
        <v>0.06</v>
      </c>
      <c r="I12" s="27">
        <v>0.085</v>
      </c>
      <c r="J12" s="27">
        <v>0.18</v>
      </c>
      <c r="K12" s="8" t="s">
        <v>279</v>
      </c>
      <c r="L12" s="8" t="s">
        <v>284</v>
      </c>
    </row>
    <row r="13" ht="24.75" customHeight="1">
      <c r="A13" s="8" t="s">
        <v>335</v>
      </c>
      <c r="B13" s="8" t="s">
        <v>336</v>
      </c>
      <c r="C13" s="8" t="s">
        <v>338</v>
      </c>
      <c r="D13" s="8" t="s">
        <v>340</v>
      </c>
      <c r="E13" s="8" t="s">
        <v>299</v>
      </c>
      <c r="F13" s="25">
        <v>11.71</v>
      </c>
      <c r="G13" s="27">
        <f t="shared" si="1"/>
        <v>0.03280112045</v>
      </c>
      <c r="H13" s="27">
        <v>0.15</v>
      </c>
      <c r="I13" s="27">
        <v>0.12</v>
      </c>
      <c r="J13" s="27">
        <v>0.27</v>
      </c>
      <c r="K13" s="8" t="s">
        <v>346</v>
      </c>
      <c r="L13" s="8" t="s">
        <v>284</v>
      </c>
    </row>
    <row r="14" ht="24.75" customHeight="1">
      <c r="A14" s="8" t="s">
        <v>347</v>
      </c>
      <c r="B14" s="8" t="s">
        <v>349</v>
      </c>
      <c r="C14" s="8" t="s">
        <v>311</v>
      </c>
      <c r="D14" s="8" t="s">
        <v>324</v>
      </c>
      <c r="E14" s="8" t="s">
        <v>251</v>
      </c>
      <c r="F14" s="25">
        <v>9.84</v>
      </c>
      <c r="G14" s="27">
        <f t="shared" si="1"/>
        <v>0.02756302521</v>
      </c>
      <c r="H14" s="27">
        <v>-0.08</v>
      </c>
      <c r="I14" s="27">
        <v>0.1</v>
      </c>
      <c r="J14" s="27">
        <v>0.24</v>
      </c>
      <c r="K14" s="8" t="s">
        <v>318</v>
      </c>
      <c r="L14" s="8" t="s">
        <v>284</v>
      </c>
    </row>
    <row r="15" ht="24.75" customHeight="1">
      <c r="A15" s="8" t="s">
        <v>358</v>
      </c>
      <c r="B15" s="8" t="s">
        <v>359</v>
      </c>
      <c r="C15" s="8" t="s">
        <v>311</v>
      </c>
      <c r="D15" s="8" t="s">
        <v>362</v>
      </c>
      <c r="E15" s="8" t="s">
        <v>251</v>
      </c>
      <c r="F15" s="25">
        <v>7.56</v>
      </c>
      <c r="G15" s="27">
        <f t="shared" si="1"/>
        <v>0.02117647059</v>
      </c>
      <c r="H15" s="27">
        <v>-0.04</v>
      </c>
      <c r="I15" s="27">
        <v>0.025</v>
      </c>
      <c r="J15" s="27">
        <v>0.29</v>
      </c>
      <c r="K15" s="8" t="s">
        <v>318</v>
      </c>
      <c r="L15" s="8" t="s">
        <v>284</v>
      </c>
    </row>
    <row r="16" ht="24.75" customHeight="1">
      <c r="A16" s="8" t="s">
        <v>370</v>
      </c>
      <c r="B16" s="8" t="s">
        <v>371</v>
      </c>
      <c r="C16" s="8" t="s">
        <v>311</v>
      </c>
      <c r="D16" s="8" t="s">
        <v>249</v>
      </c>
      <c r="E16" s="8" t="s">
        <v>251</v>
      </c>
      <c r="F16" s="25">
        <v>9.19</v>
      </c>
      <c r="G16" s="27">
        <f t="shared" si="1"/>
        <v>0.02574229692</v>
      </c>
      <c r="H16" s="27">
        <v>0.28</v>
      </c>
      <c r="I16" s="27">
        <v>0.34</v>
      </c>
      <c r="J16" s="27">
        <v>0.42</v>
      </c>
      <c r="K16" s="8" t="s">
        <v>318</v>
      </c>
      <c r="L16" s="8" t="s">
        <v>284</v>
      </c>
    </row>
    <row r="17" ht="24.75" customHeight="1">
      <c r="A17" s="8" t="s">
        <v>383</v>
      </c>
      <c r="B17" s="8" t="s">
        <v>385</v>
      </c>
      <c r="C17" s="8" t="s">
        <v>311</v>
      </c>
      <c r="D17" s="8" t="s">
        <v>387</v>
      </c>
      <c r="E17" s="8" t="s">
        <v>251</v>
      </c>
      <c r="F17" s="25">
        <v>7.45</v>
      </c>
      <c r="G17" s="27">
        <f t="shared" si="1"/>
        <v>0.02086834734</v>
      </c>
      <c r="H17" s="27">
        <v>0.2</v>
      </c>
      <c r="I17" s="27">
        <v>0.19</v>
      </c>
      <c r="J17" s="27">
        <v>0.31</v>
      </c>
      <c r="K17" s="8" t="s">
        <v>318</v>
      </c>
      <c r="L17" s="8" t="s">
        <v>284</v>
      </c>
    </row>
    <row r="18" ht="24.75" customHeight="1">
      <c r="A18" s="8" t="s">
        <v>397</v>
      </c>
      <c r="B18" s="8" t="s">
        <v>399</v>
      </c>
      <c r="C18" s="8" t="s">
        <v>311</v>
      </c>
      <c r="D18" s="8" t="s">
        <v>312</v>
      </c>
      <c r="E18" s="8" t="s">
        <v>251</v>
      </c>
      <c r="F18" s="25">
        <v>7.6</v>
      </c>
      <c r="G18" s="27">
        <f t="shared" si="1"/>
        <v>0.02128851541</v>
      </c>
      <c r="H18" s="27">
        <v>0.24</v>
      </c>
      <c r="I18" s="27">
        <v>0.21</v>
      </c>
      <c r="J18" s="27">
        <v>0.27</v>
      </c>
      <c r="K18" s="8" t="s">
        <v>318</v>
      </c>
      <c r="L18" s="8" t="s">
        <v>284</v>
      </c>
    </row>
    <row r="19" ht="24.75" customHeight="1">
      <c r="A19" s="8" t="s">
        <v>400</v>
      </c>
      <c r="B19" s="8" t="s">
        <v>400</v>
      </c>
      <c r="C19" s="8" t="s">
        <v>401</v>
      </c>
      <c r="D19" s="8" t="s">
        <v>402</v>
      </c>
      <c r="E19" s="8" t="s">
        <v>403</v>
      </c>
      <c r="F19" s="25">
        <v>22.04</v>
      </c>
      <c r="G19" s="27">
        <f t="shared" si="1"/>
        <v>0.06173669468</v>
      </c>
      <c r="H19" s="27">
        <v>0.1</v>
      </c>
      <c r="I19" s="27">
        <v>0.14</v>
      </c>
      <c r="J19" s="27">
        <v>0.2</v>
      </c>
      <c r="K19" s="8" t="s">
        <v>404</v>
      </c>
      <c r="L19" s="8" t="s">
        <v>284</v>
      </c>
    </row>
    <row r="20" ht="24.75" customHeight="1">
      <c r="A20" s="8" t="s">
        <v>405</v>
      </c>
      <c r="B20" s="8" t="s">
        <v>406</v>
      </c>
      <c r="C20" s="8" t="s">
        <v>401</v>
      </c>
      <c r="D20" s="8" t="s">
        <v>407</v>
      </c>
      <c r="E20" s="8" t="s">
        <v>403</v>
      </c>
      <c r="F20" s="25">
        <v>18.59</v>
      </c>
      <c r="G20" s="27">
        <f t="shared" si="1"/>
        <v>0.05207282913</v>
      </c>
      <c r="H20" s="27">
        <v>0.07</v>
      </c>
      <c r="I20" s="27">
        <v>0.15</v>
      </c>
      <c r="J20" s="27">
        <v>0.24</v>
      </c>
      <c r="K20" s="8" t="s">
        <v>404</v>
      </c>
      <c r="L20" s="8" t="s">
        <v>284</v>
      </c>
    </row>
    <row r="21" ht="24.75" customHeight="1">
      <c r="A21" s="8" t="s">
        <v>408</v>
      </c>
      <c r="B21" s="8" t="s">
        <v>408</v>
      </c>
      <c r="C21" s="8" t="s">
        <v>401</v>
      </c>
      <c r="D21" s="8" t="s">
        <v>402</v>
      </c>
      <c r="E21" s="8" t="s">
        <v>403</v>
      </c>
      <c r="F21" s="25">
        <v>15.36</v>
      </c>
      <c r="G21" s="27">
        <f t="shared" si="1"/>
        <v>0.04302521008</v>
      </c>
      <c r="H21" s="27">
        <v>0.14</v>
      </c>
      <c r="I21" s="27">
        <v>0.18</v>
      </c>
      <c r="J21" s="27">
        <v>0.22</v>
      </c>
      <c r="K21" s="8" t="s">
        <v>404</v>
      </c>
      <c r="L21" s="8" t="s">
        <v>284</v>
      </c>
    </row>
    <row r="22" ht="24.75" customHeight="1">
      <c r="A22" s="8" t="s">
        <v>409</v>
      </c>
      <c r="B22" s="8" t="s">
        <v>410</v>
      </c>
      <c r="C22" s="8" t="s">
        <v>411</v>
      </c>
      <c r="D22" s="8" t="s">
        <v>412</v>
      </c>
      <c r="E22" s="8" t="s">
        <v>403</v>
      </c>
      <c r="F22" s="25">
        <v>30.5</v>
      </c>
      <c r="G22" s="27">
        <f t="shared" si="1"/>
        <v>0.08543417367</v>
      </c>
      <c r="H22" s="27">
        <v>0.12</v>
      </c>
      <c r="I22" s="27">
        <v>0.135</v>
      </c>
      <c r="J22" s="27">
        <v>0.17</v>
      </c>
      <c r="K22" s="8" t="s">
        <v>414</v>
      </c>
      <c r="L22" s="8" t="s">
        <v>280</v>
      </c>
    </row>
    <row r="23" ht="24.75" customHeight="1">
      <c r="A23" s="8" t="s">
        <v>417</v>
      </c>
      <c r="B23" s="8" t="s">
        <v>418</v>
      </c>
      <c r="C23" s="8" t="s">
        <v>420</v>
      </c>
      <c r="D23" s="8" t="s">
        <v>421</v>
      </c>
      <c r="E23" s="8" t="s">
        <v>403</v>
      </c>
      <c r="F23" s="25">
        <v>22.35</v>
      </c>
      <c r="G23" s="27">
        <f t="shared" si="1"/>
        <v>0.06260504202</v>
      </c>
      <c r="H23" s="27">
        <v>0.13</v>
      </c>
      <c r="I23" s="27">
        <v>0.145</v>
      </c>
      <c r="J23" s="27">
        <v>0.16</v>
      </c>
      <c r="K23" s="8" t="s">
        <v>423</v>
      </c>
      <c r="L23" s="8" t="s">
        <v>284</v>
      </c>
    </row>
    <row r="24" ht="24.75" customHeight="1">
      <c r="A24" s="8" t="s">
        <v>425</v>
      </c>
      <c r="B24" s="8" t="s">
        <v>427</v>
      </c>
      <c r="C24" s="8" t="s">
        <v>429</v>
      </c>
      <c r="D24" s="8" t="s">
        <v>430</v>
      </c>
      <c r="E24" s="8" t="s">
        <v>403</v>
      </c>
      <c r="F24" s="25">
        <v>26.76</v>
      </c>
      <c r="G24" s="27">
        <f t="shared" si="1"/>
        <v>0.07495798319</v>
      </c>
      <c r="H24" s="27">
        <v>0.07200000000000001</v>
      </c>
      <c r="I24" s="27">
        <v>0.07</v>
      </c>
      <c r="J24" s="27">
        <v>0.04</v>
      </c>
      <c r="K24" s="8" t="s">
        <v>431</v>
      </c>
      <c r="L24" s="8" t="s">
        <v>280</v>
      </c>
    </row>
    <row r="25" ht="24.75" customHeight="1">
      <c r="A25" s="8" t="s">
        <v>432</v>
      </c>
      <c r="B25" s="8" t="s">
        <v>432</v>
      </c>
      <c r="C25" s="8" t="s">
        <v>338</v>
      </c>
      <c r="D25" s="8" t="s">
        <v>433</v>
      </c>
      <c r="E25" s="8" t="s">
        <v>403</v>
      </c>
      <c r="F25" s="25">
        <v>15.53</v>
      </c>
      <c r="G25" s="27">
        <f t="shared" si="1"/>
        <v>0.04350140056</v>
      </c>
      <c r="H25" s="27">
        <v>0.11</v>
      </c>
      <c r="I25" s="27">
        <v>0.13</v>
      </c>
      <c r="J25" s="27">
        <v>0.15</v>
      </c>
      <c r="K25" s="8" t="s">
        <v>346</v>
      </c>
      <c r="L25" s="8" t="s">
        <v>284</v>
      </c>
    </row>
    <row r="26" ht="24.75" customHeight="1">
      <c r="A26" s="8" t="s">
        <v>434</v>
      </c>
      <c r="B26" s="8" t="s">
        <v>435</v>
      </c>
      <c r="C26" s="8" t="s">
        <v>436</v>
      </c>
      <c r="D26" s="8" t="s">
        <v>437</v>
      </c>
      <c r="E26" s="8" t="s">
        <v>403</v>
      </c>
      <c r="F26" s="25">
        <v>12.23</v>
      </c>
      <c r="G26" s="27">
        <f t="shared" si="1"/>
        <v>0.03425770308</v>
      </c>
      <c r="H26" s="27">
        <v>0.068</v>
      </c>
      <c r="I26" s="27">
        <v>0.066</v>
      </c>
      <c r="J26" s="27">
        <v>0.012</v>
      </c>
      <c r="K26" s="8" t="s">
        <v>438</v>
      </c>
      <c r="L26" s="8" t="s">
        <v>284</v>
      </c>
    </row>
    <row r="27" ht="24.75" customHeight="1">
      <c r="A27" s="8" t="s">
        <v>439</v>
      </c>
      <c r="B27" s="8" t="s">
        <v>440</v>
      </c>
      <c r="C27" s="8" t="s">
        <v>441</v>
      </c>
      <c r="D27" s="8" t="s">
        <v>430</v>
      </c>
      <c r="E27" s="8" t="s">
        <v>403</v>
      </c>
      <c r="F27" s="25">
        <v>19.4</v>
      </c>
      <c r="G27" s="27">
        <f t="shared" si="1"/>
        <v>0.05434173669</v>
      </c>
      <c r="H27" s="27">
        <v>0.07</v>
      </c>
      <c r="I27" s="27">
        <v>0.07</v>
      </c>
      <c r="J27" s="27">
        <v>0.005</v>
      </c>
      <c r="K27" s="8" t="s">
        <v>431</v>
      </c>
      <c r="L27" s="8" t="s">
        <v>284</v>
      </c>
    </row>
    <row r="28" ht="15.75" customHeight="1"/>
    <row r="29" ht="15.75" customHeight="1"/>
    <row r="30" ht="24.0" customHeight="1">
      <c r="A30" s="6" t="s">
        <v>443</v>
      </c>
      <c r="B30" s="2"/>
      <c r="C30" s="2"/>
      <c r="D30" s="2"/>
      <c r="E30" s="2"/>
      <c r="F30" s="2"/>
      <c r="G30" s="2"/>
      <c r="H30" s="2"/>
      <c r="I30" s="2"/>
      <c r="J30" s="2"/>
      <c r="K30" s="2"/>
      <c r="L30" s="3"/>
    </row>
    <row r="31" ht="27.75" customHeight="1">
      <c r="A31" s="7" t="s">
        <v>173</v>
      </c>
      <c r="B31" s="7" t="s">
        <v>445</v>
      </c>
    </row>
    <row r="32" ht="51.75" customHeight="1">
      <c r="A32" s="8" t="s">
        <v>447</v>
      </c>
      <c r="B32" s="8" t="s">
        <v>448</v>
      </c>
    </row>
    <row r="33" ht="69.75" customHeight="1">
      <c r="A33" s="8" t="s">
        <v>450</v>
      </c>
      <c r="B33" s="8" t="s">
        <v>451</v>
      </c>
    </row>
    <row r="34" ht="51.75" customHeight="1">
      <c r="A34" s="8" t="s">
        <v>438</v>
      </c>
      <c r="B34" s="8" t="s">
        <v>453</v>
      </c>
    </row>
    <row r="35" ht="51.75" customHeight="1">
      <c r="A35" s="8" t="s">
        <v>455</v>
      </c>
      <c r="B35" s="8" t="s">
        <v>457</v>
      </c>
    </row>
    <row r="36" ht="51.75" customHeight="1">
      <c r="A36" s="8" t="s">
        <v>459</v>
      </c>
      <c r="B36" s="8" t="s">
        <v>461</v>
      </c>
    </row>
    <row r="37" ht="15.75" customHeight="1"/>
    <row r="38" ht="24.0" customHeight="1">
      <c r="A38" s="10" t="s">
        <v>463</v>
      </c>
      <c r="B38" s="2"/>
      <c r="C38" s="2"/>
      <c r="D38" s="2"/>
      <c r="E38" s="2"/>
      <c r="F38" s="2"/>
      <c r="G38" s="2"/>
      <c r="H38" s="2"/>
      <c r="I38" s="2"/>
      <c r="J38" s="2"/>
      <c r="K38" s="2"/>
      <c r="L38" s="3"/>
    </row>
    <row r="39" ht="90.0" customHeight="1">
      <c r="A39" s="11" t="s">
        <v>466</v>
      </c>
      <c r="B39" s="12"/>
      <c r="C39" s="12"/>
      <c r="D39" s="12"/>
      <c r="E39" s="12"/>
      <c r="F39" s="12"/>
      <c r="G39" s="12"/>
      <c r="H39" s="12"/>
      <c r="I39" s="12"/>
      <c r="J39" s="12"/>
      <c r="K39" s="12"/>
      <c r="L39" s="1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8CC4786-5EC6-4703-B586-74D8A68F42B8}" filter="1" showAutoFilter="1">
      <autoFilter ref="$A$31:$B$36"/>
    </customSheetView>
    <customSheetView guid="{A1B5CE53-B1C5-43A2-B207-CA836418F648}" filter="1" showAutoFilter="1">
      <autoFilter ref="$A$6:$L$27"/>
    </customSheetView>
  </customSheetViews>
  <mergeCells count="7">
    <mergeCell ref="A1:L1"/>
    <mergeCell ref="A2:L2"/>
    <mergeCell ref="A3:L3"/>
    <mergeCell ref="A5:L5"/>
    <mergeCell ref="A30:L30"/>
    <mergeCell ref="A38:L38"/>
    <mergeCell ref="A39:L39"/>
  </mergeCells>
  <conditionalFormatting sqref="G7:G27">
    <cfRule type="colorScale" priority="1">
      <colorScale>
        <cfvo type="min"/>
        <cfvo type="percentile" val="70"/>
        <cfvo type="max"/>
        <color rgb="FFE2F0D9"/>
        <color rgb="FFFFF2CC"/>
        <color rgb="FFF4CCCC"/>
      </colorScale>
    </cfRule>
  </conditionalFormatting>
  <printOptions/>
  <pageMargins bottom="0.4" footer="0.0" header="0.0" left="0.25" right="0.25" top="0.4"/>
  <pageSetup fitToHeight="0" orientation="landscape"/>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75B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48.0"/>
    <col customWidth="1" min="3" max="3" width="55.0"/>
    <col customWidth="1" min="4" max="4" width="26.0"/>
    <col customWidth="1" min="5" max="5" width="24.0"/>
    <col customWidth="1" min="6" max="6" width="14.0"/>
    <col customWidth="1" min="7" max="7" width="50.0"/>
    <col customWidth="1" min="8" max="12" width="24.0"/>
    <col customWidth="1" min="13" max="26" width="8.71"/>
  </cols>
  <sheetData>
    <row r="1" ht="33.75" customHeight="1">
      <c r="A1" s="1" t="s">
        <v>286</v>
      </c>
      <c r="B1" s="2"/>
      <c r="C1" s="2"/>
      <c r="D1" s="2"/>
      <c r="E1" s="2"/>
      <c r="F1" s="2"/>
      <c r="G1" s="2"/>
      <c r="H1" s="2"/>
      <c r="I1" s="2"/>
      <c r="J1" s="2"/>
      <c r="K1" s="2"/>
      <c r="L1" s="3"/>
    </row>
    <row r="2" ht="51.75" customHeight="1">
      <c r="A2" s="4" t="s">
        <v>289</v>
      </c>
    </row>
    <row r="3" ht="69.75" customHeight="1">
      <c r="A3" s="5" t="s">
        <v>290</v>
      </c>
      <c r="B3" s="2"/>
      <c r="C3" s="2"/>
      <c r="D3" s="2"/>
      <c r="E3" s="2"/>
      <c r="F3" s="2"/>
      <c r="G3" s="2"/>
      <c r="H3" s="2"/>
      <c r="I3" s="2"/>
      <c r="J3" s="2"/>
      <c r="K3" s="2"/>
      <c r="L3" s="3"/>
    </row>
    <row r="5" ht="24.0" customHeight="1">
      <c r="A5" s="6" t="s">
        <v>291</v>
      </c>
      <c r="B5" s="2"/>
      <c r="C5" s="2"/>
      <c r="D5" s="2"/>
      <c r="E5" s="2"/>
      <c r="F5" s="2"/>
      <c r="G5" s="2"/>
      <c r="H5" s="2"/>
      <c r="I5" s="2"/>
      <c r="J5" s="2"/>
      <c r="K5" s="2"/>
      <c r="L5" s="3"/>
    </row>
    <row r="6" ht="27.75" customHeight="1">
      <c r="A6" s="7" t="s">
        <v>293</v>
      </c>
      <c r="B6" s="7" t="s">
        <v>296</v>
      </c>
      <c r="C6" s="7" t="s">
        <v>298</v>
      </c>
      <c r="D6" s="7" t="s">
        <v>300</v>
      </c>
      <c r="E6" s="7" t="s">
        <v>301</v>
      </c>
      <c r="F6" s="7" t="s">
        <v>302</v>
      </c>
      <c r="G6" s="7" t="s">
        <v>133</v>
      </c>
    </row>
    <row r="7" ht="24.75" customHeight="1">
      <c r="A7" s="8" t="s">
        <v>303</v>
      </c>
      <c r="B7" s="8" t="s">
        <v>304</v>
      </c>
      <c r="C7" s="8" t="s">
        <v>11</v>
      </c>
      <c r="D7" s="8" t="s">
        <v>306</v>
      </c>
      <c r="E7" s="8" t="s">
        <v>11</v>
      </c>
      <c r="F7" s="8" t="s">
        <v>308</v>
      </c>
      <c r="G7" s="8" t="s">
        <v>310</v>
      </c>
    </row>
    <row r="8" ht="24.75" customHeight="1">
      <c r="A8" s="8" t="s">
        <v>313</v>
      </c>
      <c r="B8" s="8" t="s">
        <v>314</v>
      </c>
      <c r="C8" s="8" t="s">
        <v>13</v>
      </c>
      <c r="D8" s="8" t="s">
        <v>315</v>
      </c>
      <c r="E8" s="8" t="s">
        <v>13</v>
      </c>
      <c r="F8" s="8" t="s">
        <v>308</v>
      </c>
      <c r="G8" s="8" t="s">
        <v>316</v>
      </c>
    </row>
    <row r="9" ht="37.5" customHeight="1">
      <c r="A9" s="8" t="s">
        <v>317</v>
      </c>
      <c r="B9" s="8" t="s">
        <v>319</v>
      </c>
      <c r="C9" s="8" t="s">
        <v>320</v>
      </c>
      <c r="D9" s="8" t="s">
        <v>322</v>
      </c>
      <c r="E9" s="8" t="s">
        <v>308</v>
      </c>
      <c r="F9" s="8" t="s">
        <v>325</v>
      </c>
    </row>
    <row r="10" ht="37.5" customHeight="1">
      <c r="A10" s="8" t="s">
        <v>326</v>
      </c>
      <c r="B10" s="8" t="s">
        <v>327</v>
      </c>
      <c r="C10" s="8" t="s">
        <v>328</v>
      </c>
      <c r="D10" s="8" t="s">
        <v>329</v>
      </c>
      <c r="E10" s="8" t="s">
        <v>330</v>
      </c>
      <c r="F10" s="8" t="s">
        <v>331</v>
      </c>
    </row>
    <row r="11" ht="24.75" customHeight="1">
      <c r="A11" s="8" t="s">
        <v>332</v>
      </c>
      <c r="B11" s="8" t="s">
        <v>333</v>
      </c>
      <c r="C11" s="8" t="s">
        <v>334</v>
      </c>
      <c r="D11" s="8" t="s">
        <v>333</v>
      </c>
      <c r="E11" s="8" t="s">
        <v>337</v>
      </c>
      <c r="F11" s="8" t="s">
        <v>339</v>
      </c>
    </row>
    <row r="12" ht="24.75" customHeight="1">
      <c r="A12" s="8" t="s">
        <v>341</v>
      </c>
      <c r="B12" s="8" t="s">
        <v>342</v>
      </c>
      <c r="C12" s="8" t="s">
        <v>343</v>
      </c>
      <c r="D12" s="8" t="s">
        <v>344</v>
      </c>
      <c r="E12" s="8" t="s">
        <v>337</v>
      </c>
      <c r="F12" s="8" t="s">
        <v>345</v>
      </c>
    </row>
    <row r="13" ht="24.75" customHeight="1">
      <c r="A13" s="8" t="s">
        <v>210</v>
      </c>
      <c r="B13" s="8" t="s">
        <v>348</v>
      </c>
      <c r="C13" s="8" t="s">
        <v>350</v>
      </c>
      <c r="D13" s="8" t="s">
        <v>351</v>
      </c>
      <c r="E13" s="8" t="s">
        <v>337</v>
      </c>
      <c r="F13" s="8" t="s">
        <v>352</v>
      </c>
    </row>
    <row r="15" ht="24.0" customHeight="1">
      <c r="A15" s="6" t="s">
        <v>353</v>
      </c>
      <c r="B15" s="2"/>
      <c r="C15" s="2"/>
      <c r="D15" s="2"/>
      <c r="E15" s="2"/>
      <c r="F15" s="2"/>
      <c r="G15" s="2"/>
      <c r="H15" s="2"/>
      <c r="I15" s="2"/>
      <c r="J15" s="2"/>
      <c r="K15" s="2"/>
      <c r="L15" s="3"/>
    </row>
    <row r="16" ht="27.75" customHeight="1">
      <c r="A16" s="7" t="s">
        <v>354</v>
      </c>
      <c r="B16" s="7" t="s">
        <v>355</v>
      </c>
    </row>
    <row r="17" ht="69.75" customHeight="1">
      <c r="A17" s="8" t="s">
        <v>356</v>
      </c>
      <c r="B17" s="8" t="s">
        <v>357</v>
      </c>
    </row>
    <row r="18" ht="51.75" customHeight="1">
      <c r="A18" s="8" t="s">
        <v>360</v>
      </c>
      <c r="B18" s="8" t="s">
        <v>361</v>
      </c>
    </row>
    <row r="19" ht="69.75" customHeight="1">
      <c r="A19" s="8" t="s">
        <v>363</v>
      </c>
      <c r="B19" s="8" t="s">
        <v>364</v>
      </c>
    </row>
    <row r="20" ht="69.75" customHeight="1">
      <c r="A20" s="8" t="s">
        <v>365</v>
      </c>
      <c r="B20" s="8" t="s">
        <v>366</v>
      </c>
    </row>
    <row r="21" ht="69.75" customHeight="1">
      <c r="A21" s="8" t="s">
        <v>367</v>
      </c>
      <c r="B21" s="8" t="s">
        <v>368</v>
      </c>
    </row>
    <row r="22" ht="15.75" customHeight="1"/>
    <row r="23" ht="24.0" customHeight="1">
      <c r="A23" s="6" t="s">
        <v>369</v>
      </c>
      <c r="B23" s="2"/>
      <c r="C23" s="2"/>
      <c r="D23" s="2"/>
      <c r="E23" s="2"/>
      <c r="F23" s="2"/>
      <c r="G23" s="2"/>
      <c r="H23" s="2"/>
      <c r="I23" s="2"/>
      <c r="J23" s="2"/>
      <c r="K23" s="2"/>
      <c r="L23" s="3"/>
    </row>
    <row r="24" ht="27.75" customHeight="1">
      <c r="A24" s="7" t="s">
        <v>372</v>
      </c>
      <c r="B24" s="7" t="s">
        <v>373</v>
      </c>
      <c r="C24" s="7" t="s">
        <v>374</v>
      </c>
    </row>
    <row r="25" ht="24.75" customHeight="1">
      <c r="A25" s="8" t="s">
        <v>375</v>
      </c>
      <c r="B25" s="8" t="s">
        <v>376</v>
      </c>
      <c r="C25" s="8" t="s">
        <v>377</v>
      </c>
    </row>
    <row r="26" ht="24.75" customHeight="1">
      <c r="A26" s="8" t="s">
        <v>378</v>
      </c>
      <c r="B26" s="8" t="s">
        <v>379</v>
      </c>
      <c r="C26" s="8" t="s">
        <v>380</v>
      </c>
    </row>
    <row r="27" ht="24.75" customHeight="1">
      <c r="A27" s="8" t="s">
        <v>381</v>
      </c>
      <c r="B27" s="8" t="s">
        <v>382</v>
      </c>
      <c r="C27" s="8" t="s">
        <v>384</v>
      </c>
    </row>
    <row r="28" ht="24.75" customHeight="1">
      <c r="A28" s="8" t="s">
        <v>386</v>
      </c>
      <c r="B28" s="8" t="s">
        <v>388</v>
      </c>
      <c r="C28" s="8" t="s">
        <v>389</v>
      </c>
    </row>
    <row r="29" ht="24.75" customHeight="1">
      <c r="A29" s="8" t="s">
        <v>390</v>
      </c>
      <c r="B29" s="8" t="s">
        <v>391</v>
      </c>
      <c r="C29" s="8" t="s">
        <v>392</v>
      </c>
    </row>
    <row r="30" ht="24.75" customHeight="1">
      <c r="A30" s="8" t="s">
        <v>393</v>
      </c>
      <c r="B30" s="8" t="s">
        <v>394</v>
      </c>
      <c r="C30" s="8" t="s">
        <v>395</v>
      </c>
    </row>
    <row r="31" ht="15.75" customHeight="1"/>
    <row r="32" ht="37.5" customHeight="1">
      <c r="A32" s="24" t="s">
        <v>396</v>
      </c>
      <c r="B32" s="2"/>
      <c r="C32" s="2"/>
      <c r="D32" s="2"/>
      <c r="E32" s="2"/>
      <c r="F32" s="2"/>
      <c r="G32" s="2"/>
      <c r="H32" s="2"/>
      <c r="I32" s="2"/>
      <c r="J32" s="2"/>
      <c r="K32" s="2"/>
      <c r="L32" s="3"/>
    </row>
    <row r="33" ht="69.75" customHeight="1">
      <c r="A33" s="11" t="s">
        <v>398</v>
      </c>
      <c r="B33" s="12"/>
      <c r="C33" s="12"/>
      <c r="D33" s="12"/>
      <c r="E33" s="12"/>
      <c r="F33" s="12"/>
      <c r="G33" s="12"/>
      <c r="H33" s="12"/>
      <c r="I33" s="12"/>
      <c r="J33" s="12"/>
      <c r="K33" s="12"/>
      <c r="L33" s="1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02B49F2-8012-4754-BBCB-2BD47E1D59B1}" filter="1" showAutoFilter="1">
      <autoFilter ref="$A$6:$G$13"/>
    </customSheetView>
    <customSheetView guid="{B1BECB37-E60E-4326-9A49-C0E1430FC99F}" filter="1" showAutoFilter="1">
      <autoFilter ref="$A$16:$B$21"/>
    </customSheetView>
    <customSheetView guid="{DC5EA9C7-0F31-4780-B805-315C7A91A356}" filter="1" showAutoFilter="1">
      <autoFilter ref="$A$24:$C$30"/>
    </customSheetView>
  </customSheetViews>
  <mergeCells count="8">
    <mergeCell ref="A1:L1"/>
    <mergeCell ref="A2:L2"/>
    <mergeCell ref="A3:L3"/>
    <mergeCell ref="A5:L5"/>
    <mergeCell ref="A15:L15"/>
    <mergeCell ref="A23:L23"/>
    <mergeCell ref="A32:L32"/>
    <mergeCell ref="A33:L33"/>
  </mergeCells>
  <printOptions/>
  <pageMargins bottom="0.4" footer="0.0" header="0.0" left="0.25" right="0.25" top="0.4"/>
  <pageSetup fitToHeight="0" orientation="landscape"/>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fitToPage="1"/>
  </sheetPr>
  <sheetViews>
    <sheetView showGridLines="0" workbookViewId="0"/>
  </sheetViews>
  <sheetFormatPr customHeight="1" defaultColWidth="14.43" defaultRowHeight="15.0"/>
  <cols>
    <col customWidth="1" min="1" max="1" width="30.0"/>
    <col customWidth="1" min="2" max="2" width="100.0"/>
    <col customWidth="1" min="3" max="3" width="15.0"/>
    <col customWidth="1" min="4" max="4" width="22.0"/>
    <col customWidth="1" min="5" max="5" width="24.0"/>
    <col customWidth="1" min="6" max="7" width="26.0"/>
    <col customWidth="1" min="8" max="12" width="24.0"/>
    <col customWidth="1" min="13" max="26" width="8.71"/>
  </cols>
  <sheetData>
    <row r="1" ht="33.75" customHeight="1">
      <c r="A1" s="1" t="s">
        <v>526</v>
      </c>
      <c r="B1" s="2"/>
      <c r="C1" s="2"/>
      <c r="D1" s="2"/>
      <c r="E1" s="2"/>
      <c r="F1" s="2"/>
      <c r="G1" s="2"/>
      <c r="H1" s="2"/>
      <c r="I1" s="2"/>
      <c r="J1" s="2"/>
      <c r="K1" s="2"/>
      <c r="L1" s="3"/>
    </row>
    <row r="2" ht="69.75" customHeight="1">
      <c r="A2" s="4" t="s">
        <v>530</v>
      </c>
    </row>
    <row r="3" ht="24.75" customHeight="1">
      <c r="A3" s="5" t="s">
        <v>532</v>
      </c>
      <c r="B3" s="2"/>
      <c r="C3" s="2"/>
      <c r="D3" s="2"/>
      <c r="E3" s="2"/>
      <c r="F3" s="2"/>
      <c r="G3" s="2"/>
      <c r="H3" s="2"/>
      <c r="I3" s="2"/>
      <c r="J3" s="2"/>
      <c r="K3" s="2"/>
      <c r="L3" s="3"/>
    </row>
    <row r="5" ht="24.0" customHeight="1">
      <c r="A5" s="18" t="s">
        <v>535</v>
      </c>
      <c r="B5" s="2"/>
      <c r="C5" s="2"/>
      <c r="D5" s="2"/>
      <c r="E5" s="2"/>
      <c r="F5" s="2"/>
      <c r="G5" s="2"/>
      <c r="H5" s="2"/>
      <c r="I5" s="2"/>
      <c r="J5" s="2"/>
      <c r="K5" s="2"/>
      <c r="L5" s="3"/>
    </row>
    <row r="6" ht="27.75" customHeight="1">
      <c r="A6" s="7" t="s">
        <v>538</v>
      </c>
      <c r="B6" s="7" t="s">
        <v>222</v>
      </c>
      <c r="C6" s="7" t="s">
        <v>225</v>
      </c>
      <c r="D6" s="7" t="s">
        <v>539</v>
      </c>
    </row>
    <row r="7" ht="24.75" customHeight="1">
      <c r="A7" s="8" t="s">
        <v>540</v>
      </c>
      <c r="B7" s="25">
        <v>252.74</v>
      </c>
      <c r="C7" s="27">
        <f t="shared" ref="C7:C11" si="1">B7/SUM($B$7:$B$11)</f>
        <v>0.7079551821</v>
      </c>
      <c r="D7" s="8" t="s">
        <v>541</v>
      </c>
    </row>
    <row r="8" ht="24.75" customHeight="1">
      <c r="A8" s="8" t="s">
        <v>430</v>
      </c>
      <c r="B8" s="25">
        <v>46.16</v>
      </c>
      <c r="C8" s="27">
        <f t="shared" si="1"/>
        <v>0.1292997199</v>
      </c>
      <c r="D8" s="8" t="s">
        <v>541</v>
      </c>
    </row>
    <row r="9" ht="24.75" customHeight="1">
      <c r="A9" s="8" t="s">
        <v>542</v>
      </c>
      <c r="B9" s="25">
        <v>27.24</v>
      </c>
      <c r="C9" s="27">
        <f t="shared" si="1"/>
        <v>0.07630252101</v>
      </c>
      <c r="D9" s="8" t="s">
        <v>543</v>
      </c>
    </row>
    <row r="10" ht="24.75" customHeight="1">
      <c r="A10" s="8" t="s">
        <v>295</v>
      </c>
      <c r="B10" s="25">
        <v>18.63</v>
      </c>
      <c r="C10" s="27">
        <f t="shared" si="1"/>
        <v>0.05218487395</v>
      </c>
      <c r="D10" s="8" t="s">
        <v>543</v>
      </c>
    </row>
    <row r="11" ht="24.75" customHeight="1">
      <c r="A11" s="8" t="s">
        <v>544</v>
      </c>
      <c r="B11" s="25">
        <v>12.23</v>
      </c>
      <c r="C11" s="27">
        <f t="shared" si="1"/>
        <v>0.03425770308</v>
      </c>
      <c r="D11" s="8" t="s">
        <v>543</v>
      </c>
    </row>
    <row r="21" ht="15.75" customHeight="1"/>
    <row r="22" ht="24.0" customHeight="1">
      <c r="A22" s="18" t="s">
        <v>545</v>
      </c>
      <c r="B22" s="2"/>
      <c r="C22" s="2"/>
      <c r="D22" s="2"/>
      <c r="E22" s="2"/>
      <c r="F22" s="2"/>
      <c r="G22" s="2"/>
      <c r="H22" s="2"/>
      <c r="I22" s="2"/>
      <c r="J22" s="2"/>
      <c r="K22" s="2"/>
      <c r="L22" s="3"/>
    </row>
    <row r="23" ht="27.75" customHeight="1">
      <c r="A23" s="29" t="s">
        <v>546</v>
      </c>
      <c r="B23" s="29" t="s">
        <v>222</v>
      </c>
      <c r="C23" s="29" t="s">
        <v>225</v>
      </c>
      <c r="D23" s="29" t="s">
        <v>548</v>
      </c>
    </row>
    <row r="24" ht="24.75" customHeight="1">
      <c r="A24" s="31" t="s">
        <v>430</v>
      </c>
      <c r="B24" s="32">
        <v>38.09</v>
      </c>
      <c r="C24" s="34">
        <v>0.1269666666666666</v>
      </c>
      <c r="D24" s="31" t="s">
        <v>549</v>
      </c>
    </row>
    <row r="25" ht="24.75" customHeight="1">
      <c r="A25" s="36" t="s">
        <v>249</v>
      </c>
      <c r="B25" s="38">
        <v>34.92</v>
      </c>
      <c r="C25" s="39">
        <v>0.1164</v>
      </c>
      <c r="D25" s="36" t="s">
        <v>550</v>
      </c>
    </row>
    <row r="26" ht="24.75" customHeight="1">
      <c r="A26" s="31" t="s">
        <v>402</v>
      </c>
      <c r="B26" s="32">
        <v>31.75</v>
      </c>
      <c r="C26" s="34">
        <v>0.1058333333333333</v>
      </c>
      <c r="D26" s="31" t="s">
        <v>550</v>
      </c>
    </row>
    <row r="27" ht="24.75" customHeight="1">
      <c r="A27" s="36" t="s">
        <v>412</v>
      </c>
      <c r="B27" s="38">
        <v>25.4</v>
      </c>
      <c r="C27" s="39">
        <v>0.08466666666666667</v>
      </c>
      <c r="D27" s="36" t="s">
        <v>550</v>
      </c>
    </row>
    <row r="28" ht="24.75" customHeight="1">
      <c r="A28" s="31" t="s">
        <v>324</v>
      </c>
      <c r="B28" s="32">
        <v>19.58</v>
      </c>
      <c r="C28" s="34">
        <v>0.06526666666666667</v>
      </c>
      <c r="D28" s="31" t="s">
        <v>550</v>
      </c>
    </row>
    <row r="29" ht="24.75" customHeight="1">
      <c r="A29" s="36" t="s">
        <v>283</v>
      </c>
      <c r="B29" s="38">
        <v>19.05</v>
      </c>
      <c r="C29" s="39">
        <v>0.0635</v>
      </c>
      <c r="D29" s="36" t="s">
        <v>550</v>
      </c>
    </row>
    <row r="30" ht="24.75" customHeight="1">
      <c r="A30" s="31" t="s">
        <v>421</v>
      </c>
      <c r="B30" s="32">
        <v>19.05</v>
      </c>
      <c r="C30" s="34">
        <v>0.0635</v>
      </c>
      <c r="D30" s="31" t="s">
        <v>550</v>
      </c>
    </row>
    <row r="31" ht="24.75" customHeight="1">
      <c r="A31" s="36" t="s">
        <v>312</v>
      </c>
      <c r="B31" s="38">
        <v>19.05</v>
      </c>
      <c r="C31" s="39">
        <v>0.06349999999999999</v>
      </c>
      <c r="D31" s="36" t="s">
        <v>550</v>
      </c>
    </row>
    <row r="32" ht="24.75" customHeight="1">
      <c r="A32" s="31" t="s">
        <v>288</v>
      </c>
      <c r="B32" s="32">
        <v>15.87</v>
      </c>
      <c r="C32" s="34">
        <v>0.0529</v>
      </c>
      <c r="D32" s="31" t="s">
        <v>552</v>
      </c>
    </row>
    <row r="33" ht="24.75" customHeight="1">
      <c r="A33" s="36" t="s">
        <v>297</v>
      </c>
      <c r="B33" s="38">
        <v>15.87</v>
      </c>
      <c r="C33" s="39">
        <v>0.0529</v>
      </c>
      <c r="D33" s="36" t="s">
        <v>552</v>
      </c>
    </row>
    <row r="34" ht="24.75" customHeight="1">
      <c r="A34" s="31" t="s">
        <v>407</v>
      </c>
      <c r="B34" s="32">
        <v>15.87</v>
      </c>
      <c r="C34" s="34">
        <v>0.0529</v>
      </c>
      <c r="D34" s="31" t="s">
        <v>552</v>
      </c>
    </row>
    <row r="35" ht="24.75" customHeight="1">
      <c r="A35" s="36" t="s">
        <v>433</v>
      </c>
      <c r="B35" s="38">
        <v>12.7</v>
      </c>
      <c r="C35" s="39">
        <v>0.04233333333333333</v>
      </c>
      <c r="D35" s="36" t="s">
        <v>552</v>
      </c>
    </row>
    <row r="36" ht="24.75" customHeight="1">
      <c r="A36" s="31" t="s">
        <v>437</v>
      </c>
      <c r="B36" s="32">
        <v>10.58</v>
      </c>
      <c r="C36" s="34">
        <v>0.03526666666666667</v>
      </c>
      <c r="D36" s="31" t="s">
        <v>552</v>
      </c>
    </row>
    <row r="37" ht="24.75" customHeight="1">
      <c r="A37" s="36" t="s">
        <v>340</v>
      </c>
      <c r="B37" s="38">
        <v>9.52</v>
      </c>
      <c r="C37" s="39">
        <v>0.03173333333333333</v>
      </c>
      <c r="D37" s="36" t="s">
        <v>552</v>
      </c>
    </row>
    <row r="38" ht="24.0" customHeight="1">
      <c r="A38" s="46" t="s">
        <v>559</v>
      </c>
      <c r="B38" s="48"/>
      <c r="C38" s="48"/>
      <c r="D38" s="48"/>
      <c r="E38" s="12"/>
      <c r="F38" s="12"/>
      <c r="G38" s="12"/>
      <c r="H38" s="12"/>
      <c r="I38" s="12"/>
      <c r="J38" s="12"/>
      <c r="K38" s="12"/>
      <c r="L38" s="13"/>
    </row>
    <row r="39" ht="27.75" customHeight="1">
      <c r="A39" s="52" t="s">
        <v>562</v>
      </c>
      <c r="B39" s="53" t="s">
        <v>565</v>
      </c>
      <c r="C39" s="39">
        <v>0.02116666666666667</v>
      </c>
      <c r="D39" s="36" t="s">
        <v>552</v>
      </c>
    </row>
    <row r="40" ht="51.75" customHeight="1">
      <c r="A40" s="56" t="s">
        <v>569</v>
      </c>
      <c r="B40" s="56" t="s">
        <v>572</v>
      </c>
    </row>
    <row r="41" ht="51.75" customHeight="1">
      <c r="A41" s="56" t="s">
        <v>468</v>
      </c>
      <c r="B41" s="56" t="s">
        <v>575</v>
      </c>
    </row>
    <row r="42" ht="69.75" customHeight="1">
      <c r="A42" s="56" t="s">
        <v>578</v>
      </c>
      <c r="B42" s="56" t="s">
        <v>580</v>
      </c>
    </row>
    <row r="43" ht="69.75" customHeight="1">
      <c r="A43" s="56" t="s">
        <v>583</v>
      </c>
      <c r="B43" s="56" t="s">
        <v>585</v>
      </c>
    </row>
    <row r="44" ht="51.75" customHeight="1">
      <c r="A44" s="56" t="s">
        <v>587</v>
      </c>
      <c r="B44" s="56" t="s">
        <v>589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3932EEDB-716F-44B0-94E3-FD0DCA80A505}" filter="1" showAutoFilter="1">
      <autoFilter ref="$A$6:$D$11"/>
    </customSheetView>
  </customSheetViews>
  <mergeCells count="6">
    <mergeCell ref="A1:L1"/>
    <mergeCell ref="A2:L2"/>
    <mergeCell ref="A3:L3"/>
    <mergeCell ref="A5:L5"/>
    <mergeCell ref="A22:L22"/>
    <mergeCell ref="A38:L38"/>
  </mergeCells>
  <printOptions/>
  <pageMargins bottom="0.4" footer="0.0" header="0.0" left="0.25" right="0.25" top="0.4"/>
  <pageSetup fitToHeight="0" orientation="landscape"/>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28.0"/>
    <col customWidth="1" min="2" max="2" width="102.0"/>
    <col customWidth="1" min="3" max="3" width="18.0"/>
    <col customWidth="1" min="4" max="4" width="14.0"/>
    <col customWidth="1" min="5" max="5" width="26.0"/>
    <col customWidth="1" min="6" max="7" width="15.0"/>
    <col customWidth="1" min="8" max="10" width="24.0"/>
    <col customWidth="1" min="11" max="26" width="8.71"/>
  </cols>
  <sheetData>
    <row r="1" ht="33.75" customHeight="1">
      <c r="A1" s="1" t="s">
        <v>413</v>
      </c>
      <c r="B1" s="2"/>
      <c r="C1" s="2"/>
      <c r="D1" s="2"/>
      <c r="E1" s="2"/>
      <c r="F1" s="2"/>
      <c r="G1" s="2"/>
      <c r="H1" s="2"/>
      <c r="I1" s="2"/>
      <c r="J1" s="3"/>
    </row>
    <row r="2" ht="51.75" customHeight="1">
      <c r="A2" s="4" t="s">
        <v>415</v>
      </c>
    </row>
    <row r="4" ht="24.0" customHeight="1">
      <c r="A4" s="18" t="s">
        <v>416</v>
      </c>
      <c r="B4" s="2"/>
      <c r="C4" s="2"/>
      <c r="D4" s="2"/>
      <c r="E4" s="2"/>
      <c r="F4" s="2"/>
      <c r="G4" s="2"/>
      <c r="H4" s="2"/>
      <c r="I4" s="2"/>
      <c r="J4" s="3"/>
    </row>
    <row r="5" ht="27.75" customHeight="1">
      <c r="A5" s="7" t="s">
        <v>419</v>
      </c>
      <c r="B5" s="7" t="s">
        <v>422</v>
      </c>
      <c r="C5" s="7" t="s">
        <v>225</v>
      </c>
      <c r="D5" s="7" t="s">
        <v>424</v>
      </c>
      <c r="E5" s="7" t="s">
        <v>426</v>
      </c>
      <c r="F5" s="7" t="s">
        <v>231</v>
      </c>
      <c r="G5" s="7" t="s">
        <v>428</v>
      </c>
    </row>
    <row r="6" ht="24.75" customHeight="1">
      <c r="A6" s="8" t="s">
        <v>242</v>
      </c>
      <c r="B6" s="25">
        <v>32.61</v>
      </c>
      <c r="C6" s="27">
        <f t="shared" ref="C6:C26" si="1">B6/SUM($B$6:$B$26)</f>
        <v>0.09134453782</v>
      </c>
      <c r="D6" s="27">
        <v>0.21</v>
      </c>
      <c r="E6" s="27">
        <f t="shared" ref="E6:E26" si="2">C6*D6</f>
        <v>0.01918235294</v>
      </c>
      <c r="F6" s="27">
        <v>0.185</v>
      </c>
      <c r="G6" s="27">
        <v>0.31</v>
      </c>
    </row>
    <row r="7" ht="24.75" customHeight="1">
      <c r="A7" s="8" t="s">
        <v>281</v>
      </c>
      <c r="B7" s="25">
        <v>22.04</v>
      </c>
      <c r="C7" s="27">
        <f t="shared" si="1"/>
        <v>0.06173669468</v>
      </c>
      <c r="D7" s="27">
        <v>0.08</v>
      </c>
      <c r="E7" s="27">
        <f t="shared" si="2"/>
        <v>0.004938935574</v>
      </c>
      <c r="F7" s="27">
        <v>0.092</v>
      </c>
      <c r="G7" s="27">
        <v>0.23</v>
      </c>
    </row>
    <row r="8" ht="24.75" customHeight="1">
      <c r="A8" s="8" t="s">
        <v>285</v>
      </c>
      <c r="B8" s="25">
        <v>18.7</v>
      </c>
      <c r="C8" s="27">
        <f t="shared" si="1"/>
        <v>0.05238095238</v>
      </c>
      <c r="D8" s="27">
        <v>0.18</v>
      </c>
      <c r="E8" s="27">
        <f t="shared" si="2"/>
        <v>0.009428571429</v>
      </c>
      <c r="F8" s="27">
        <v>0.168</v>
      </c>
      <c r="G8" s="27">
        <v>0.24</v>
      </c>
    </row>
    <row r="9" ht="24.75" customHeight="1">
      <c r="A9" s="8" t="s">
        <v>292</v>
      </c>
      <c r="B9" s="25">
        <v>18.63</v>
      </c>
      <c r="C9" s="27">
        <f t="shared" si="1"/>
        <v>0.05218487395</v>
      </c>
      <c r="D9" s="27">
        <v>0.42</v>
      </c>
      <c r="E9" s="27">
        <f t="shared" si="2"/>
        <v>0.02191764706</v>
      </c>
      <c r="F9" s="27">
        <v>0.28</v>
      </c>
      <c r="G9" s="27">
        <v>0.62</v>
      </c>
    </row>
    <row r="10" ht="24.75" customHeight="1">
      <c r="A10" s="8" t="s">
        <v>307</v>
      </c>
      <c r="B10" s="25">
        <v>15.45</v>
      </c>
      <c r="C10" s="27">
        <f t="shared" si="1"/>
        <v>0.04327731092</v>
      </c>
      <c r="D10" s="27">
        <v>0.16</v>
      </c>
      <c r="E10" s="27">
        <f t="shared" si="2"/>
        <v>0.006924369748</v>
      </c>
      <c r="F10" s="27">
        <v>0.202</v>
      </c>
      <c r="G10" s="27">
        <v>0.26</v>
      </c>
    </row>
    <row r="11" ht="24.75" customHeight="1">
      <c r="A11" s="8" t="s">
        <v>321</v>
      </c>
      <c r="B11" s="25">
        <v>13.46</v>
      </c>
      <c r="C11" s="27">
        <f t="shared" si="1"/>
        <v>0.03770308123</v>
      </c>
      <c r="D11" s="27">
        <v>0.06</v>
      </c>
      <c r="E11" s="27">
        <f t="shared" si="2"/>
        <v>0.002262184874</v>
      </c>
      <c r="F11" s="27">
        <v>0.085</v>
      </c>
      <c r="G11" s="27">
        <v>0.18</v>
      </c>
    </row>
    <row r="12" ht="24.75" customHeight="1">
      <c r="A12" s="8" t="s">
        <v>335</v>
      </c>
      <c r="B12" s="25">
        <v>11.71</v>
      </c>
      <c r="C12" s="27">
        <f t="shared" si="1"/>
        <v>0.03280112045</v>
      </c>
      <c r="D12" s="27">
        <v>0.15</v>
      </c>
      <c r="E12" s="27">
        <f t="shared" si="2"/>
        <v>0.004920168067</v>
      </c>
      <c r="F12" s="27">
        <v>0.12</v>
      </c>
      <c r="G12" s="27">
        <v>0.27</v>
      </c>
    </row>
    <row r="13" ht="24.75" customHeight="1">
      <c r="A13" s="8" t="s">
        <v>347</v>
      </c>
      <c r="B13" s="25">
        <v>9.84</v>
      </c>
      <c r="C13" s="27">
        <f t="shared" si="1"/>
        <v>0.02756302521</v>
      </c>
      <c r="D13" s="27">
        <v>-0.08</v>
      </c>
      <c r="E13" s="27">
        <f t="shared" si="2"/>
        <v>-0.002205042017</v>
      </c>
      <c r="F13" s="27">
        <v>0.1</v>
      </c>
      <c r="G13" s="27">
        <v>0.24</v>
      </c>
    </row>
    <row r="14" ht="24.75" customHeight="1">
      <c r="A14" s="8" t="s">
        <v>358</v>
      </c>
      <c r="B14" s="25">
        <v>7.56</v>
      </c>
      <c r="C14" s="27">
        <f t="shared" si="1"/>
        <v>0.02117647059</v>
      </c>
      <c r="D14" s="27">
        <v>-0.04</v>
      </c>
      <c r="E14" s="27">
        <f t="shared" si="2"/>
        <v>-0.0008470588235</v>
      </c>
      <c r="F14" s="27">
        <v>0.025</v>
      </c>
      <c r="G14" s="27">
        <v>0.29</v>
      </c>
    </row>
    <row r="15" ht="24.75" customHeight="1">
      <c r="A15" s="8" t="s">
        <v>370</v>
      </c>
      <c r="B15" s="25">
        <v>9.19</v>
      </c>
      <c r="C15" s="27">
        <f t="shared" si="1"/>
        <v>0.02574229692</v>
      </c>
      <c r="D15" s="27">
        <v>0.28</v>
      </c>
      <c r="E15" s="27">
        <f t="shared" si="2"/>
        <v>0.007207843137</v>
      </c>
      <c r="F15" s="27">
        <v>0.34</v>
      </c>
      <c r="G15" s="27">
        <v>0.42</v>
      </c>
    </row>
    <row r="16" ht="24.75" customHeight="1">
      <c r="A16" s="8" t="s">
        <v>383</v>
      </c>
      <c r="B16" s="25">
        <v>7.45</v>
      </c>
      <c r="C16" s="27">
        <f t="shared" si="1"/>
        <v>0.02086834734</v>
      </c>
      <c r="D16" s="27">
        <v>0.2</v>
      </c>
      <c r="E16" s="27">
        <f t="shared" si="2"/>
        <v>0.004173669468</v>
      </c>
      <c r="F16" s="27">
        <v>0.19</v>
      </c>
      <c r="G16" s="27">
        <v>0.31</v>
      </c>
    </row>
    <row r="17" ht="24.75" customHeight="1">
      <c r="A17" s="8" t="s">
        <v>397</v>
      </c>
      <c r="B17" s="25">
        <v>7.6</v>
      </c>
      <c r="C17" s="27">
        <f t="shared" si="1"/>
        <v>0.02128851541</v>
      </c>
      <c r="D17" s="27">
        <v>0.24</v>
      </c>
      <c r="E17" s="27">
        <f t="shared" si="2"/>
        <v>0.005109243697</v>
      </c>
      <c r="F17" s="27">
        <v>0.21</v>
      </c>
      <c r="G17" s="27">
        <v>0.27</v>
      </c>
    </row>
    <row r="18" ht="24.75" customHeight="1">
      <c r="A18" s="8" t="s">
        <v>400</v>
      </c>
      <c r="B18" s="25">
        <v>22.04</v>
      </c>
      <c r="C18" s="27">
        <f t="shared" si="1"/>
        <v>0.06173669468</v>
      </c>
      <c r="D18" s="27">
        <v>0.1</v>
      </c>
      <c r="E18" s="27">
        <f t="shared" si="2"/>
        <v>0.006173669468</v>
      </c>
      <c r="F18" s="27">
        <v>0.14</v>
      </c>
      <c r="G18" s="27">
        <v>0.2</v>
      </c>
    </row>
    <row r="19" ht="24.75" customHeight="1">
      <c r="A19" s="8" t="s">
        <v>405</v>
      </c>
      <c r="B19" s="25">
        <v>18.59</v>
      </c>
      <c r="C19" s="27">
        <f t="shared" si="1"/>
        <v>0.05207282913</v>
      </c>
      <c r="D19" s="27">
        <v>0.07</v>
      </c>
      <c r="E19" s="27">
        <f t="shared" si="2"/>
        <v>0.003645098039</v>
      </c>
      <c r="F19" s="27">
        <v>0.15</v>
      </c>
      <c r="G19" s="27">
        <v>0.24</v>
      </c>
    </row>
    <row r="20" ht="24.75" customHeight="1">
      <c r="A20" s="8" t="s">
        <v>408</v>
      </c>
      <c r="B20" s="25">
        <v>15.36</v>
      </c>
      <c r="C20" s="27">
        <f t="shared" si="1"/>
        <v>0.04302521008</v>
      </c>
      <c r="D20" s="27">
        <v>0.14</v>
      </c>
      <c r="E20" s="27">
        <f t="shared" si="2"/>
        <v>0.006023529412</v>
      </c>
      <c r="F20" s="27">
        <v>0.18</v>
      </c>
      <c r="G20" s="27">
        <v>0.22</v>
      </c>
    </row>
    <row r="21" ht="24.75" customHeight="1">
      <c r="A21" s="8" t="s">
        <v>409</v>
      </c>
      <c r="B21" s="25">
        <v>30.5</v>
      </c>
      <c r="C21" s="27">
        <f t="shared" si="1"/>
        <v>0.08543417367</v>
      </c>
      <c r="D21" s="27">
        <v>0.12</v>
      </c>
      <c r="E21" s="27">
        <f t="shared" si="2"/>
        <v>0.01025210084</v>
      </c>
      <c r="F21" s="27">
        <v>0.135</v>
      </c>
      <c r="G21" s="27">
        <v>0.17</v>
      </c>
    </row>
    <row r="22" ht="24.75" customHeight="1">
      <c r="A22" s="8" t="s">
        <v>417</v>
      </c>
      <c r="B22" s="25">
        <v>22.35</v>
      </c>
      <c r="C22" s="27">
        <f t="shared" si="1"/>
        <v>0.06260504202</v>
      </c>
      <c r="D22" s="27">
        <v>0.13</v>
      </c>
      <c r="E22" s="27">
        <f t="shared" si="2"/>
        <v>0.008138655462</v>
      </c>
      <c r="F22" s="27">
        <v>0.145</v>
      </c>
      <c r="G22" s="27">
        <v>0.16</v>
      </c>
    </row>
    <row r="23" ht="24.75" customHeight="1">
      <c r="A23" s="8" t="s">
        <v>425</v>
      </c>
      <c r="B23" s="25">
        <v>26.76</v>
      </c>
      <c r="C23" s="27">
        <f t="shared" si="1"/>
        <v>0.07495798319</v>
      </c>
      <c r="D23" s="27">
        <v>0.07200000000000001</v>
      </c>
      <c r="E23" s="27">
        <f t="shared" si="2"/>
        <v>0.00539697479</v>
      </c>
      <c r="F23" s="27">
        <v>0.07</v>
      </c>
      <c r="G23" s="27">
        <v>0.04</v>
      </c>
    </row>
    <row r="24" ht="24.75" customHeight="1">
      <c r="A24" s="8" t="s">
        <v>432</v>
      </c>
      <c r="B24" s="25">
        <v>15.53</v>
      </c>
      <c r="C24" s="27">
        <f t="shared" si="1"/>
        <v>0.04350140056</v>
      </c>
      <c r="D24" s="27">
        <v>0.11</v>
      </c>
      <c r="E24" s="27">
        <f t="shared" si="2"/>
        <v>0.004785154062</v>
      </c>
      <c r="F24" s="27">
        <v>0.13</v>
      </c>
      <c r="G24" s="27">
        <v>0.15</v>
      </c>
    </row>
    <row r="25" ht="24.75" customHeight="1">
      <c r="A25" s="8" t="s">
        <v>434</v>
      </c>
      <c r="B25" s="25">
        <v>12.23</v>
      </c>
      <c r="C25" s="27">
        <f t="shared" si="1"/>
        <v>0.03425770308</v>
      </c>
      <c r="D25" s="27">
        <v>0.068</v>
      </c>
      <c r="E25" s="27">
        <f t="shared" si="2"/>
        <v>0.00232952381</v>
      </c>
      <c r="F25" s="27">
        <v>0.066</v>
      </c>
      <c r="G25" s="27">
        <v>0.012</v>
      </c>
    </row>
    <row r="26" ht="24.75" customHeight="1">
      <c r="A26" s="8" t="s">
        <v>439</v>
      </c>
      <c r="B26" s="25">
        <v>19.4</v>
      </c>
      <c r="C26" s="27">
        <f t="shared" si="1"/>
        <v>0.05434173669</v>
      </c>
      <c r="D26" s="27">
        <v>0.07</v>
      </c>
      <c r="E26" s="27">
        <f t="shared" si="2"/>
        <v>0.003803921569</v>
      </c>
      <c r="F26" s="27">
        <v>0.07</v>
      </c>
      <c r="G26" s="27">
        <v>0.005</v>
      </c>
    </row>
    <row r="27" ht="15.75" customHeight="1">
      <c r="A27" s="30" t="s">
        <v>547</v>
      </c>
      <c r="B27" s="33">
        <f t="shared" ref="B27:C27" si="3">SUM(B6:B26)</f>
        <v>357</v>
      </c>
      <c r="C27" s="35">
        <f t="shared" si="3"/>
        <v>1</v>
      </c>
      <c r="D27" s="37"/>
      <c r="E27" s="35">
        <f>SUM(E6:E26)</f>
        <v>0.1335615126</v>
      </c>
      <c r="F27" s="35">
        <f>SUMPRODUCT(C6:C26,F6:F26)</f>
        <v>0.1441239776</v>
      </c>
      <c r="G27" s="35">
        <f>SUMPRODUCT(C6:C26,G6:G26)</f>
        <v>0.2191797199</v>
      </c>
    </row>
    <row r="28" ht="15.75" customHeight="1"/>
    <row r="29" ht="15.75" customHeight="1"/>
    <row r="30" ht="24.0" customHeight="1">
      <c r="A30" s="18" t="s">
        <v>551</v>
      </c>
      <c r="B30" s="2"/>
      <c r="C30" s="2"/>
      <c r="D30" s="2"/>
      <c r="E30" s="2"/>
      <c r="F30" s="2"/>
      <c r="G30" s="2"/>
      <c r="H30" s="2"/>
      <c r="I30" s="2"/>
      <c r="J30" s="3"/>
    </row>
    <row r="31" ht="19.5" customHeight="1">
      <c r="A31" s="40" t="s">
        <v>554</v>
      </c>
      <c r="B31" s="13"/>
      <c r="C31" s="42" t="s">
        <v>555</v>
      </c>
      <c r="D31" s="13"/>
      <c r="E31" s="43" t="s">
        <v>556</v>
      </c>
      <c r="F31" s="13"/>
      <c r="G31" s="45" t="s">
        <v>557</v>
      </c>
      <c r="H31" s="13"/>
      <c r="I31" s="47" t="s">
        <v>560</v>
      </c>
      <c r="J31" s="13"/>
    </row>
    <row r="32" ht="30.0" customHeight="1">
      <c r="A32" s="50">
        <f>E27</f>
        <v>0.1335615126</v>
      </c>
      <c r="B32" s="13"/>
      <c r="C32" s="55">
        <f>F27</f>
        <v>0.1441239776</v>
      </c>
      <c r="D32" s="13"/>
      <c r="E32" s="58">
        <f>G27</f>
        <v>0.2191797199</v>
      </c>
      <c r="F32" s="13"/>
      <c r="G32" s="59">
        <f>C9</f>
        <v>0.05218487395</v>
      </c>
      <c r="H32" s="13"/>
      <c r="I32" s="60">
        <f>MAX(C6:C26)</f>
        <v>0.09134453782</v>
      </c>
      <c r="J32" s="13"/>
    </row>
    <row r="33" ht="15.75" customHeight="1"/>
    <row r="34" ht="15.75" customHeight="1"/>
    <row r="35" ht="24.0" customHeight="1">
      <c r="A35" s="18" t="s">
        <v>605</v>
      </c>
      <c r="B35" s="2"/>
      <c r="C35" s="2"/>
      <c r="D35" s="2"/>
      <c r="E35" s="2"/>
      <c r="F35" s="2"/>
      <c r="G35" s="2"/>
      <c r="H35" s="2"/>
      <c r="I35" s="2"/>
      <c r="J35" s="3"/>
    </row>
    <row r="36" ht="27.75" customHeight="1">
      <c r="A36" s="7" t="s">
        <v>611</v>
      </c>
      <c r="B36" s="7" t="s">
        <v>612</v>
      </c>
      <c r="C36" s="7" t="s">
        <v>613</v>
      </c>
      <c r="D36" s="7" t="s">
        <v>614</v>
      </c>
      <c r="E36" s="7" t="s">
        <v>615</v>
      </c>
    </row>
    <row r="37" ht="24.75" customHeight="1">
      <c r="A37" s="8" t="s">
        <v>468</v>
      </c>
      <c r="B37" s="8" t="s">
        <v>619</v>
      </c>
      <c r="C37" s="27">
        <v>0.1164</v>
      </c>
      <c r="D37" s="62">
        <v>-0.35</v>
      </c>
      <c r="E37" s="27">
        <v>-0.04074</v>
      </c>
    </row>
    <row r="38" ht="24.75" customHeight="1">
      <c r="A38" s="8" t="s">
        <v>295</v>
      </c>
      <c r="B38" s="8" t="s">
        <v>292</v>
      </c>
      <c r="C38" s="27">
        <v>0.0529</v>
      </c>
      <c r="D38" s="62">
        <v>-0.6</v>
      </c>
      <c r="E38" s="27">
        <v>-0.03174</v>
      </c>
    </row>
    <row r="39" ht="24.75" customHeight="1">
      <c r="A39" s="8" t="s">
        <v>629</v>
      </c>
      <c r="B39" s="8" t="s">
        <v>630</v>
      </c>
      <c r="C39" s="27">
        <v>0.1375666666666667</v>
      </c>
      <c r="D39" s="62">
        <v>-0.25</v>
      </c>
      <c r="E39" s="27">
        <v>-0.03439166666666667</v>
      </c>
    </row>
    <row r="40" ht="24.75" customHeight="1">
      <c r="A40" s="8" t="s">
        <v>635</v>
      </c>
      <c r="B40" s="8" t="s">
        <v>640</v>
      </c>
      <c r="C40" s="27">
        <v>0.7108</v>
      </c>
      <c r="D40" s="62">
        <v>-0.2</v>
      </c>
      <c r="E40" s="27">
        <v>-0.14216</v>
      </c>
    </row>
    <row r="41" ht="15.75" customHeight="1"/>
    <row r="42" ht="15.75" customHeight="1"/>
    <row r="43" ht="24.0" customHeight="1">
      <c r="A43" s="18" t="s">
        <v>643</v>
      </c>
      <c r="B43" s="2"/>
      <c r="C43" s="2"/>
      <c r="D43" s="2"/>
      <c r="E43" s="2"/>
      <c r="F43" s="2"/>
      <c r="G43" s="2"/>
      <c r="H43" s="2"/>
      <c r="I43" s="2"/>
      <c r="J43" s="3"/>
    </row>
    <row r="44" ht="27.75" customHeight="1">
      <c r="A44" s="7" t="s">
        <v>562</v>
      </c>
      <c r="B44" s="7" t="s">
        <v>653</v>
      </c>
    </row>
    <row r="45" ht="69.75" customHeight="1">
      <c r="A45" s="8" t="s">
        <v>642</v>
      </c>
      <c r="B45" s="8" t="s">
        <v>655</v>
      </c>
    </row>
    <row r="46" ht="69.75" customHeight="1">
      <c r="A46" s="8" t="s">
        <v>657</v>
      </c>
      <c r="B46" s="8" t="s">
        <v>661</v>
      </c>
    </row>
    <row r="47" ht="51.75" customHeight="1">
      <c r="A47" s="8" t="s">
        <v>666</v>
      </c>
      <c r="B47" s="8" t="s">
        <v>672</v>
      </c>
    </row>
    <row r="48" ht="69.75" customHeight="1">
      <c r="A48" s="8" t="s">
        <v>464</v>
      </c>
      <c r="B48" s="8" t="s">
        <v>687</v>
      </c>
    </row>
    <row r="49" ht="51.75" customHeight="1">
      <c r="A49" s="8" t="s">
        <v>695</v>
      </c>
      <c r="B49" s="8" t="s">
        <v>699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ustomSheetViews>
    <customSheetView guid="{1E284D25-E5DE-47B2-98A1-4312E4E80635}" filter="1" showAutoFilter="1">
      <autoFilter ref="$A$5:$G$26"/>
    </customSheetView>
    <customSheetView guid="{36578511-04FD-4854-9A1F-49D23056DD9F}" filter="1" showAutoFilter="1">
      <autoFilter ref="$A$36:$E$40"/>
    </customSheetView>
    <customSheetView guid="{B7A35D16-2405-46CA-BF41-0CA879544694}" filter="1" showAutoFilter="1">
      <autoFilter ref="$A$44:$B$49"/>
    </customSheetView>
  </customSheetViews>
  <mergeCells count="16">
    <mergeCell ref="G31:H31"/>
    <mergeCell ref="I31:J31"/>
    <mergeCell ref="A32:B32"/>
    <mergeCell ref="C32:D32"/>
    <mergeCell ref="E32:F32"/>
    <mergeCell ref="G32:H32"/>
    <mergeCell ref="I32:J32"/>
    <mergeCell ref="A35:J35"/>
    <mergeCell ref="A43:J43"/>
    <mergeCell ref="A1:J1"/>
    <mergeCell ref="A2:J2"/>
    <mergeCell ref="A4:J4"/>
    <mergeCell ref="A30:J30"/>
    <mergeCell ref="A31:B31"/>
    <mergeCell ref="C31:D31"/>
    <mergeCell ref="E31:F31"/>
  </mergeCells>
  <printOptions/>
  <pageMargins bottom="0.4" footer="0.0" header="0.0" left="0.25" right="0.25" top="0.4"/>
  <pageSetup fitToHeight="0" orientation="landscape"/>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183"/>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0"/>
    <col customWidth="1" min="2" max="2" width="92.0"/>
    <col customWidth="1" min="3" max="3" width="28.0"/>
    <col customWidth="1" min="4" max="4" width="27.0"/>
    <col customWidth="1" min="5" max="5" width="32.0"/>
    <col customWidth="1" min="6" max="6" width="35.0"/>
    <col customWidth="1" min="7" max="7" width="36.0"/>
    <col customWidth="1" min="8" max="8" width="30.0"/>
    <col customWidth="1" min="9" max="12" width="24.0"/>
    <col customWidth="1" min="13" max="26" width="8.71"/>
  </cols>
  <sheetData>
    <row r="1" ht="33.75" customHeight="1">
      <c r="A1" s="1" t="s">
        <v>442</v>
      </c>
      <c r="B1" s="2"/>
      <c r="C1" s="2"/>
      <c r="D1" s="2"/>
      <c r="E1" s="2"/>
      <c r="F1" s="2"/>
      <c r="G1" s="2"/>
      <c r="H1" s="2"/>
      <c r="I1" s="2"/>
      <c r="J1" s="2"/>
      <c r="K1" s="2"/>
      <c r="L1" s="3"/>
    </row>
    <row r="2" ht="37.5" customHeight="1">
      <c r="A2" s="28" t="s">
        <v>444</v>
      </c>
    </row>
    <row r="3" ht="24.75" customHeight="1">
      <c r="A3" s="5" t="s">
        <v>446</v>
      </c>
      <c r="B3" s="2"/>
      <c r="C3" s="2"/>
      <c r="D3" s="2"/>
      <c r="E3" s="2"/>
      <c r="F3" s="2"/>
      <c r="G3" s="2"/>
      <c r="H3" s="2"/>
      <c r="I3" s="2"/>
      <c r="J3" s="2"/>
      <c r="K3" s="2"/>
      <c r="L3" s="3"/>
    </row>
    <row r="5" ht="24.0" customHeight="1">
      <c r="A5" s="6" t="s">
        <v>449</v>
      </c>
      <c r="B5" s="2"/>
      <c r="C5" s="2"/>
      <c r="D5" s="2"/>
      <c r="E5" s="2"/>
      <c r="F5" s="2"/>
      <c r="G5" s="2"/>
      <c r="H5" s="2"/>
      <c r="I5" s="2"/>
      <c r="J5" s="2"/>
      <c r="K5" s="2"/>
      <c r="L5" s="3"/>
    </row>
    <row r="6" ht="27.75" customHeight="1">
      <c r="A6" s="7" t="s">
        <v>452</v>
      </c>
      <c r="B6" s="7" t="s">
        <v>454</v>
      </c>
      <c r="C6" s="7" t="s">
        <v>456</v>
      </c>
      <c r="D6" s="7" t="s">
        <v>458</v>
      </c>
      <c r="E6" s="7" t="s">
        <v>460</v>
      </c>
      <c r="F6" s="7" t="s">
        <v>133</v>
      </c>
      <c r="G6" s="7" t="s">
        <v>462</v>
      </c>
      <c r="H6" s="7" t="s">
        <v>464</v>
      </c>
    </row>
    <row r="7" ht="37.5" customHeight="1">
      <c r="A7" s="8" t="s">
        <v>465</v>
      </c>
      <c r="B7" s="8" t="s">
        <v>467</v>
      </c>
      <c r="C7" s="8" t="s">
        <v>468</v>
      </c>
      <c r="D7" s="8" t="s">
        <v>469</v>
      </c>
      <c r="E7" s="8" t="s">
        <v>470</v>
      </c>
      <c r="F7" s="8" t="s">
        <v>471</v>
      </c>
      <c r="G7" s="8" t="s">
        <v>472</v>
      </c>
      <c r="H7" s="8" t="s">
        <v>473</v>
      </c>
    </row>
    <row r="8" ht="37.5" customHeight="1">
      <c r="A8" s="8" t="s">
        <v>474</v>
      </c>
      <c r="B8" s="8" t="s">
        <v>475</v>
      </c>
      <c r="C8" s="8" t="s">
        <v>476</v>
      </c>
      <c r="D8" s="8" t="s">
        <v>477</v>
      </c>
      <c r="E8" s="8" t="s">
        <v>478</v>
      </c>
      <c r="F8" s="8" t="s">
        <v>479</v>
      </c>
      <c r="G8" s="8" t="s">
        <v>480</v>
      </c>
      <c r="H8" s="8" t="s">
        <v>481</v>
      </c>
    </row>
    <row r="9" ht="37.5" customHeight="1">
      <c r="A9" s="8" t="s">
        <v>482</v>
      </c>
      <c r="B9" s="8" t="s">
        <v>483</v>
      </c>
      <c r="C9" s="8" t="s">
        <v>292</v>
      </c>
      <c r="D9" s="8" t="s">
        <v>484</v>
      </c>
      <c r="E9" s="8" t="s">
        <v>485</v>
      </c>
      <c r="F9" s="8" t="s">
        <v>486</v>
      </c>
      <c r="G9" s="8" t="s">
        <v>487</v>
      </c>
      <c r="H9" s="8" t="s">
        <v>488</v>
      </c>
    </row>
    <row r="10" ht="24.75" customHeight="1">
      <c r="A10" s="8" t="s">
        <v>489</v>
      </c>
      <c r="B10" s="8" t="s">
        <v>490</v>
      </c>
      <c r="C10" s="8" t="s">
        <v>400</v>
      </c>
      <c r="D10" s="8" t="s">
        <v>491</v>
      </c>
      <c r="E10" s="8" t="s">
        <v>492</v>
      </c>
      <c r="F10" s="8" t="s">
        <v>493</v>
      </c>
      <c r="G10" s="8" t="s">
        <v>494</v>
      </c>
      <c r="H10" s="8" t="s">
        <v>495</v>
      </c>
    </row>
    <row r="11" ht="37.5" customHeight="1">
      <c r="A11" s="8" t="s">
        <v>496</v>
      </c>
      <c r="B11" s="8" t="s">
        <v>497</v>
      </c>
      <c r="C11" s="8" t="s">
        <v>498</v>
      </c>
      <c r="D11" s="8" t="s">
        <v>499</v>
      </c>
      <c r="E11" s="8" t="s">
        <v>500</v>
      </c>
      <c r="F11" s="8" t="s">
        <v>501</v>
      </c>
      <c r="G11" s="8" t="s">
        <v>502</v>
      </c>
    </row>
    <row r="12" ht="37.5" customHeight="1">
      <c r="A12" s="8" t="s">
        <v>503</v>
      </c>
      <c r="B12" s="8" t="s">
        <v>504</v>
      </c>
      <c r="C12" s="8" t="s">
        <v>505</v>
      </c>
      <c r="D12" s="8" t="s">
        <v>506</v>
      </c>
      <c r="E12" s="8" t="s">
        <v>507</v>
      </c>
      <c r="F12" s="8" t="s">
        <v>508</v>
      </c>
      <c r="G12" s="8" t="s">
        <v>509</v>
      </c>
      <c r="H12" s="8" t="s">
        <v>481</v>
      </c>
    </row>
    <row r="15" ht="24.0" customHeight="1">
      <c r="A15" s="18" t="s">
        <v>510</v>
      </c>
      <c r="B15" s="2"/>
      <c r="C15" s="2"/>
      <c r="D15" s="2"/>
      <c r="E15" s="2"/>
      <c r="F15" s="2"/>
      <c r="G15" s="2"/>
      <c r="H15" s="2"/>
      <c r="I15" s="2"/>
      <c r="J15" s="2"/>
      <c r="K15" s="2"/>
      <c r="L15" s="3"/>
    </row>
    <row r="16" ht="27.75" customHeight="1">
      <c r="A16" s="7" t="s">
        <v>511</v>
      </c>
      <c r="B16" s="7" t="s">
        <v>512</v>
      </c>
    </row>
    <row r="17" ht="37.5" customHeight="1">
      <c r="A17" s="8" t="s">
        <v>513</v>
      </c>
      <c r="B17" s="8" t="s">
        <v>514</v>
      </c>
    </row>
    <row r="18" ht="37.5" customHeight="1">
      <c r="A18" s="8" t="s">
        <v>515</v>
      </c>
      <c r="B18" s="8" t="s">
        <v>516</v>
      </c>
    </row>
    <row r="19" ht="37.5" customHeight="1">
      <c r="A19" s="8" t="s">
        <v>517</v>
      </c>
      <c r="B19" s="8" t="s">
        <v>518</v>
      </c>
    </row>
    <row r="20" ht="37.5" customHeight="1">
      <c r="A20" s="8" t="s">
        <v>519</v>
      </c>
      <c r="B20" s="8" t="s">
        <v>520</v>
      </c>
    </row>
    <row r="21" ht="37.5" customHeight="1">
      <c r="A21" s="8" t="s">
        <v>521</v>
      </c>
      <c r="B21" s="8" t="s">
        <v>522</v>
      </c>
    </row>
    <row r="22" ht="37.5" customHeight="1">
      <c r="A22" s="8" t="s">
        <v>523</v>
      </c>
      <c r="B22" s="8" t="s">
        <v>524</v>
      </c>
    </row>
    <row r="23" ht="15.75" customHeight="1"/>
    <row r="24" ht="24.0" customHeight="1">
      <c r="A24" s="18" t="s">
        <v>525</v>
      </c>
      <c r="B24" s="2"/>
      <c r="C24" s="2"/>
      <c r="D24" s="2"/>
      <c r="E24" s="2"/>
      <c r="F24" s="2"/>
      <c r="G24" s="2"/>
      <c r="H24" s="2"/>
      <c r="I24" s="2"/>
      <c r="J24" s="2"/>
      <c r="K24" s="2"/>
      <c r="L24" s="3"/>
    </row>
    <row r="25" ht="27.75" customHeight="1">
      <c r="A25" s="7" t="s">
        <v>527</v>
      </c>
      <c r="B25" s="7" t="s">
        <v>528</v>
      </c>
    </row>
    <row r="26" ht="69.75" customHeight="1">
      <c r="A26" s="8" t="s">
        <v>529</v>
      </c>
      <c r="B26" s="8" t="s">
        <v>531</v>
      </c>
    </row>
    <row r="27" ht="51.75" customHeight="1">
      <c r="A27" s="8" t="s">
        <v>533</v>
      </c>
      <c r="B27" s="8" t="s">
        <v>534</v>
      </c>
    </row>
    <row r="28" ht="69.75" customHeight="1">
      <c r="A28" s="8" t="s">
        <v>536</v>
      </c>
      <c r="B28" s="8" t="s">
        <v>537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FD0D09BF-017E-402C-9AC5-F2AF67C6B135}" filter="1" showAutoFilter="1">
      <autoFilter ref="$A$6:$H$12"/>
    </customSheetView>
    <customSheetView guid="{A8B71256-0749-4952-8359-FD1023AA9D05}" filter="1" showAutoFilter="1">
      <autoFilter ref="$A$16:$B$22"/>
    </customSheetView>
    <customSheetView guid="{34705951-2CF6-4FC1-B632-087EF03E5A91}" filter="1" showAutoFilter="1">
      <autoFilter ref="$A$25:$B$28"/>
    </customSheetView>
  </customSheetViews>
  <mergeCells count="6">
    <mergeCell ref="A1:L1"/>
    <mergeCell ref="A2:L2"/>
    <mergeCell ref="A3:L3"/>
    <mergeCell ref="A5:L5"/>
    <mergeCell ref="A15:L15"/>
    <mergeCell ref="A24:L24"/>
  </mergeCells>
  <printOptions/>
  <pageMargins bottom="0.4" footer="0.0" header="0.0" left="0.25" right="0.25" top="0.4"/>
  <pageSetup fitToHeight="0" orientation="landscape"/>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C95"/>
    <pageSetUpPr fitToPage="1"/>
  </sheetPr>
  <sheetViews>
    <sheetView showGridLines="0" workbookViewId="0"/>
  </sheetViews>
  <sheetFormatPr customHeight="1" defaultColWidth="14.43" defaultRowHeight="15.0"/>
  <cols>
    <col customWidth="1" min="1" max="1" width="32.0"/>
    <col customWidth="1" min="2" max="2" width="20.0"/>
    <col customWidth="1" min="3" max="3" width="22.0"/>
    <col customWidth="1" min="4" max="4" width="20.0"/>
    <col customWidth="1" min="5" max="5" width="16.0"/>
    <col customWidth="1" min="6" max="6" width="22.0"/>
    <col customWidth="1" min="7" max="7" width="26.0"/>
    <col customWidth="1" min="8" max="8" width="22.0"/>
    <col customWidth="1" min="9" max="10" width="16.0"/>
    <col customWidth="1" min="11" max="11" width="52.0"/>
    <col customWidth="1" min="12" max="12" width="42.0"/>
    <col customWidth="1" min="13" max="25" width="8.71"/>
  </cols>
  <sheetData>
    <row r="1" ht="33.75" customHeight="1">
      <c r="A1" s="41" t="s">
        <v>553</v>
      </c>
      <c r="B1" s="2"/>
      <c r="C1" s="2"/>
      <c r="D1" s="2"/>
      <c r="E1" s="2"/>
      <c r="F1" s="2"/>
      <c r="G1" s="2"/>
      <c r="H1" s="2"/>
      <c r="I1" s="2"/>
      <c r="J1" s="2"/>
      <c r="K1" s="3"/>
    </row>
    <row r="2" ht="51.75" customHeight="1">
      <c r="A2" s="44" t="s">
        <v>558</v>
      </c>
    </row>
    <row r="4" ht="24.0" customHeight="1">
      <c r="A4" s="49" t="s">
        <v>561</v>
      </c>
      <c r="B4" s="2"/>
      <c r="C4" s="2"/>
      <c r="D4" s="2"/>
      <c r="E4" s="2"/>
      <c r="F4" s="2"/>
      <c r="G4" s="2"/>
      <c r="H4" s="2"/>
      <c r="I4" s="2"/>
      <c r="J4" s="2"/>
      <c r="K4" s="3"/>
    </row>
    <row r="5" ht="31.5" customHeight="1">
      <c r="A5" s="51" t="s">
        <v>4</v>
      </c>
      <c r="B5" s="51" t="s">
        <v>563</v>
      </c>
      <c r="C5" s="51" t="s">
        <v>564</v>
      </c>
      <c r="D5" s="51" t="s">
        <v>133</v>
      </c>
      <c r="E5" s="51" t="s">
        <v>302</v>
      </c>
    </row>
    <row r="6" ht="51.75" customHeight="1">
      <c r="A6" s="54" t="s">
        <v>566</v>
      </c>
      <c r="B6" s="54" t="s">
        <v>13</v>
      </c>
      <c r="C6" s="54" t="s">
        <v>567</v>
      </c>
      <c r="D6" s="54" t="s">
        <v>568</v>
      </c>
      <c r="E6" s="54" t="s">
        <v>570</v>
      </c>
    </row>
    <row r="7" ht="51.75" customHeight="1">
      <c r="A7" s="57" t="s">
        <v>571</v>
      </c>
      <c r="B7" s="57" t="s">
        <v>573</v>
      </c>
      <c r="C7" s="57" t="s">
        <v>574</v>
      </c>
      <c r="D7" s="57" t="s">
        <v>576</v>
      </c>
      <c r="E7" s="57" t="s">
        <v>577</v>
      </c>
    </row>
    <row r="8" ht="37.5" customHeight="1">
      <c r="A8" s="54" t="s">
        <v>579</v>
      </c>
      <c r="B8" s="54" t="s">
        <v>581</v>
      </c>
      <c r="C8" s="54" t="s">
        <v>582</v>
      </c>
      <c r="D8" s="54" t="s">
        <v>584</v>
      </c>
      <c r="E8" s="54" t="s">
        <v>577</v>
      </c>
    </row>
    <row r="9" ht="69.75" customHeight="1">
      <c r="A9" s="57" t="s">
        <v>586</v>
      </c>
      <c r="B9" s="57" t="s">
        <v>588</v>
      </c>
      <c r="C9" s="57" t="s">
        <v>590</v>
      </c>
      <c r="D9" s="57" t="s">
        <v>591</v>
      </c>
      <c r="E9" s="57" t="s">
        <v>592</v>
      </c>
    </row>
    <row r="10" ht="69.75" customHeight="1">
      <c r="A10" s="54" t="s">
        <v>593</v>
      </c>
      <c r="B10" s="54" t="s">
        <v>594</v>
      </c>
      <c r="C10" s="54" t="s">
        <v>595</v>
      </c>
      <c r="D10" s="54" t="s">
        <v>596</v>
      </c>
      <c r="E10" s="54" t="s">
        <v>597</v>
      </c>
    </row>
    <row r="13" ht="24.0" customHeight="1">
      <c r="A13" s="49" t="s">
        <v>598</v>
      </c>
      <c r="B13" s="2"/>
      <c r="C13" s="2"/>
      <c r="D13" s="2"/>
      <c r="E13" s="2"/>
      <c r="F13" s="2"/>
      <c r="G13" s="2"/>
      <c r="H13" s="2"/>
      <c r="I13" s="2"/>
      <c r="J13" s="2"/>
      <c r="K13" s="3"/>
    </row>
    <row r="14" ht="31.5" customHeight="1">
      <c r="A14" s="51" t="s">
        <v>599</v>
      </c>
      <c r="B14" s="51" t="s">
        <v>538</v>
      </c>
      <c r="C14" s="51" t="s">
        <v>600</v>
      </c>
      <c r="D14" s="51" t="s">
        <v>601</v>
      </c>
      <c r="E14" s="51" t="s">
        <v>602</v>
      </c>
      <c r="F14" s="51" t="s">
        <v>603</v>
      </c>
      <c r="G14" s="51" t="s">
        <v>372</v>
      </c>
    </row>
    <row r="15" ht="51.75" customHeight="1">
      <c r="A15" s="57" t="s">
        <v>604</v>
      </c>
      <c r="B15" s="57" t="s">
        <v>606</v>
      </c>
      <c r="C15" s="57" t="s">
        <v>13</v>
      </c>
      <c r="D15" s="57" t="s">
        <v>607</v>
      </c>
      <c r="E15" s="57" t="s">
        <v>608</v>
      </c>
      <c r="F15" s="57" t="s">
        <v>609</v>
      </c>
      <c r="G15" s="61" t="s">
        <v>610</v>
      </c>
    </row>
    <row r="16" ht="37.5" customHeight="1">
      <c r="A16" s="54" t="s">
        <v>616</v>
      </c>
      <c r="B16" s="54" t="s">
        <v>617</v>
      </c>
      <c r="C16" s="54" t="s">
        <v>13</v>
      </c>
      <c r="D16" s="54" t="s">
        <v>618</v>
      </c>
      <c r="E16" s="54" t="s">
        <v>608</v>
      </c>
      <c r="F16" s="54" t="s">
        <v>609</v>
      </c>
      <c r="G16" s="61" t="s">
        <v>610</v>
      </c>
    </row>
    <row r="17" ht="51.75" customHeight="1">
      <c r="A17" s="57" t="s">
        <v>620</v>
      </c>
      <c r="B17" s="57" t="s">
        <v>621</v>
      </c>
      <c r="C17" s="57" t="s">
        <v>13</v>
      </c>
      <c r="D17" s="57" t="s">
        <v>622</v>
      </c>
      <c r="E17" s="57" t="s">
        <v>608</v>
      </c>
      <c r="F17" s="57" t="s">
        <v>609</v>
      </c>
      <c r="G17" s="61" t="s">
        <v>623</v>
      </c>
    </row>
    <row r="18" ht="69.75" customHeight="1">
      <c r="A18" s="54" t="s">
        <v>624</v>
      </c>
      <c r="B18" s="54" t="s">
        <v>625</v>
      </c>
      <c r="C18" s="54" t="s">
        <v>13</v>
      </c>
      <c r="D18" s="54" t="s">
        <v>626</v>
      </c>
      <c r="E18" s="54" t="s">
        <v>608</v>
      </c>
      <c r="F18" s="54" t="s">
        <v>627</v>
      </c>
      <c r="G18" s="61" t="s">
        <v>628</v>
      </c>
    </row>
    <row r="19" ht="37.5" customHeight="1">
      <c r="A19" s="57" t="s">
        <v>631</v>
      </c>
      <c r="B19" s="57" t="s">
        <v>632</v>
      </c>
      <c r="C19" s="57" t="s">
        <v>13</v>
      </c>
      <c r="D19" s="57" t="s">
        <v>633</v>
      </c>
      <c r="E19" s="57" t="s">
        <v>608</v>
      </c>
      <c r="F19" s="57" t="s">
        <v>627</v>
      </c>
      <c r="G19" s="61" t="s">
        <v>628</v>
      </c>
    </row>
    <row r="20" ht="37.5" customHeight="1">
      <c r="A20" s="54" t="s">
        <v>634</v>
      </c>
      <c r="B20" s="54" t="s">
        <v>606</v>
      </c>
      <c r="C20" s="54" t="s">
        <v>13</v>
      </c>
      <c r="D20" s="54" t="s">
        <v>636</v>
      </c>
      <c r="E20" s="54" t="s">
        <v>637</v>
      </c>
      <c r="F20" s="54" t="s">
        <v>638</v>
      </c>
      <c r="G20" s="54" t="s">
        <v>639</v>
      </c>
    </row>
    <row r="21" ht="15.75" customHeight="1"/>
    <row r="22" ht="15.75" customHeight="1"/>
    <row r="23" ht="24.0" customHeight="1">
      <c r="A23" s="49" t="s">
        <v>641</v>
      </c>
      <c r="B23" s="2"/>
      <c r="C23" s="2"/>
      <c r="D23" s="2"/>
      <c r="E23" s="2"/>
      <c r="F23" s="2"/>
      <c r="G23" s="2"/>
      <c r="H23" s="2"/>
      <c r="I23" s="2"/>
      <c r="J23" s="2"/>
      <c r="K23" s="3"/>
    </row>
    <row r="24" ht="31.5" customHeight="1">
      <c r="A24" s="51" t="s">
        <v>599</v>
      </c>
      <c r="B24" s="51" t="s">
        <v>538</v>
      </c>
      <c r="C24" s="51" t="s">
        <v>600</v>
      </c>
      <c r="D24" s="51" t="s">
        <v>642</v>
      </c>
      <c r="E24" s="51" t="s">
        <v>602</v>
      </c>
      <c r="F24" s="51" t="s">
        <v>603</v>
      </c>
      <c r="G24" s="51" t="s">
        <v>372</v>
      </c>
    </row>
    <row r="25" ht="37.5" customHeight="1">
      <c r="A25" s="57" t="s">
        <v>644</v>
      </c>
      <c r="B25" s="57" t="s">
        <v>645</v>
      </c>
      <c r="C25" s="57" t="s">
        <v>13</v>
      </c>
      <c r="D25" s="57" t="s">
        <v>646</v>
      </c>
      <c r="E25" s="57" t="s">
        <v>608</v>
      </c>
      <c r="F25" s="57" t="s">
        <v>647</v>
      </c>
      <c r="G25" s="57" t="s">
        <v>648</v>
      </c>
    </row>
    <row r="26" ht="37.5" customHeight="1">
      <c r="A26" s="54" t="s">
        <v>649</v>
      </c>
      <c r="B26" s="54" t="s">
        <v>650</v>
      </c>
      <c r="C26" s="54" t="s">
        <v>13</v>
      </c>
      <c r="D26" s="54" t="s">
        <v>651</v>
      </c>
      <c r="E26" s="54" t="s">
        <v>608</v>
      </c>
      <c r="F26" s="54" t="s">
        <v>627</v>
      </c>
      <c r="G26" s="61" t="s">
        <v>652</v>
      </c>
    </row>
    <row r="27" ht="51.75" customHeight="1">
      <c r="A27" s="57" t="s">
        <v>658</v>
      </c>
      <c r="B27" s="57" t="s">
        <v>659</v>
      </c>
      <c r="C27" s="57" t="s">
        <v>13</v>
      </c>
      <c r="D27" s="57" t="s">
        <v>660</v>
      </c>
      <c r="E27" s="57" t="s">
        <v>608</v>
      </c>
      <c r="F27" s="57" t="s">
        <v>662</v>
      </c>
      <c r="G27" s="61" t="s">
        <v>652</v>
      </c>
    </row>
    <row r="28" ht="37.5" customHeight="1">
      <c r="A28" s="54" t="s">
        <v>663</v>
      </c>
      <c r="B28" s="54" t="s">
        <v>664</v>
      </c>
      <c r="C28" s="54" t="s">
        <v>13</v>
      </c>
      <c r="D28" s="54" t="s">
        <v>665</v>
      </c>
      <c r="E28" s="54" t="s">
        <v>608</v>
      </c>
      <c r="F28" s="54" t="s">
        <v>662</v>
      </c>
      <c r="G28" s="54" t="s">
        <v>667</v>
      </c>
    </row>
    <row r="29" ht="37.5" customHeight="1">
      <c r="A29" s="57" t="s">
        <v>242</v>
      </c>
      <c r="B29" s="57" t="s">
        <v>669</v>
      </c>
      <c r="C29" s="57" t="s">
        <v>13</v>
      </c>
      <c r="D29" s="57" t="s">
        <v>671</v>
      </c>
      <c r="E29" s="57" t="s">
        <v>582</v>
      </c>
      <c r="F29" s="57" t="s">
        <v>662</v>
      </c>
      <c r="G29" s="57" t="s">
        <v>674</v>
      </c>
    </row>
    <row r="30" ht="37.5" customHeight="1">
      <c r="A30" s="54" t="s">
        <v>321</v>
      </c>
      <c r="B30" s="54" t="s">
        <v>675</v>
      </c>
      <c r="C30" s="54" t="s">
        <v>13</v>
      </c>
      <c r="D30" s="54" t="s">
        <v>676</v>
      </c>
      <c r="E30" s="54" t="s">
        <v>608</v>
      </c>
      <c r="F30" s="54" t="s">
        <v>662</v>
      </c>
      <c r="G30" s="54" t="s">
        <v>678</v>
      </c>
    </row>
    <row r="31" ht="51.75" customHeight="1">
      <c r="A31" s="57" t="s">
        <v>681</v>
      </c>
      <c r="B31" s="57" t="s">
        <v>682</v>
      </c>
      <c r="C31" s="57" t="s">
        <v>13</v>
      </c>
      <c r="D31" s="57" t="s">
        <v>685</v>
      </c>
      <c r="E31" s="57" t="s">
        <v>608</v>
      </c>
      <c r="F31" s="57" t="s">
        <v>647</v>
      </c>
      <c r="G31" s="57" t="s">
        <v>648</v>
      </c>
    </row>
    <row r="32" ht="15.75" customHeight="1"/>
    <row r="33" ht="24.0" customHeight="1">
      <c r="A33" s="49" t="s">
        <v>690</v>
      </c>
      <c r="B33" s="2"/>
      <c r="C33" s="2"/>
      <c r="D33" s="2"/>
      <c r="E33" s="2"/>
      <c r="F33" s="2"/>
      <c r="G33" s="2"/>
      <c r="H33" s="2"/>
      <c r="I33" s="2"/>
      <c r="J33" s="2"/>
      <c r="K33" s="3"/>
    </row>
    <row r="34" ht="31.5" customHeight="1">
      <c r="A34" s="51" t="s">
        <v>599</v>
      </c>
      <c r="B34" s="51" t="s">
        <v>538</v>
      </c>
      <c r="C34" s="51" t="s">
        <v>600</v>
      </c>
      <c r="D34" s="51" t="s">
        <v>701</v>
      </c>
      <c r="E34" s="51" t="s">
        <v>602</v>
      </c>
      <c r="F34" s="51" t="s">
        <v>603</v>
      </c>
      <c r="G34" s="51" t="s">
        <v>372</v>
      </c>
    </row>
    <row r="35" ht="51.75" customHeight="1">
      <c r="A35" s="57" t="s">
        <v>702</v>
      </c>
      <c r="B35" s="57" t="s">
        <v>433</v>
      </c>
      <c r="C35" s="57" t="s">
        <v>13</v>
      </c>
      <c r="D35" s="57" t="s">
        <v>704</v>
      </c>
      <c r="E35" s="57" t="s">
        <v>705</v>
      </c>
      <c r="F35" s="57" t="s">
        <v>706</v>
      </c>
      <c r="G35" s="61" t="s">
        <v>707</v>
      </c>
    </row>
    <row r="36" ht="51.75" customHeight="1">
      <c r="A36" s="54" t="s">
        <v>709</v>
      </c>
      <c r="B36" s="54" t="s">
        <v>710</v>
      </c>
      <c r="C36" s="54" t="s">
        <v>13</v>
      </c>
      <c r="D36" s="54" t="s">
        <v>711</v>
      </c>
      <c r="E36" s="54" t="s">
        <v>608</v>
      </c>
      <c r="F36" s="54" t="s">
        <v>712</v>
      </c>
      <c r="G36" s="61" t="s">
        <v>713</v>
      </c>
    </row>
    <row r="37" ht="27.75" customHeight="1">
      <c r="A37" s="57" t="s">
        <v>714</v>
      </c>
      <c r="B37" s="57" t="s">
        <v>715</v>
      </c>
      <c r="C37" s="57" t="s">
        <v>13</v>
      </c>
      <c r="D37" s="57" t="s">
        <v>716</v>
      </c>
      <c r="E37" s="57" t="s">
        <v>717</v>
      </c>
      <c r="F37" s="57" t="s">
        <v>706</v>
      </c>
      <c r="G37" s="61" t="s">
        <v>707</v>
      </c>
    </row>
    <row r="38" ht="37.5" customHeight="1">
      <c r="A38" s="54" t="s">
        <v>718</v>
      </c>
      <c r="B38" s="54" t="s">
        <v>719</v>
      </c>
      <c r="C38" s="54" t="s">
        <v>13</v>
      </c>
      <c r="D38" s="54" t="s">
        <v>720</v>
      </c>
      <c r="E38" s="54" t="s">
        <v>608</v>
      </c>
      <c r="F38" s="54" t="s">
        <v>721</v>
      </c>
      <c r="G38" s="54" t="s">
        <v>722</v>
      </c>
    </row>
    <row r="39" ht="37.5" customHeight="1">
      <c r="A39" s="57" t="s">
        <v>294</v>
      </c>
      <c r="B39" s="57" t="s">
        <v>724</v>
      </c>
      <c r="C39" s="57" t="s">
        <v>13</v>
      </c>
      <c r="D39" s="57" t="s">
        <v>725</v>
      </c>
      <c r="E39" s="57" t="s">
        <v>608</v>
      </c>
      <c r="F39" s="57" t="s">
        <v>726</v>
      </c>
      <c r="G39" s="57" t="s">
        <v>727</v>
      </c>
    </row>
    <row r="40" ht="37.5" customHeight="1">
      <c r="A40" s="54" t="s">
        <v>728</v>
      </c>
      <c r="B40" s="54" t="s">
        <v>729</v>
      </c>
      <c r="C40" s="54" t="s">
        <v>13</v>
      </c>
      <c r="D40" s="54" t="s">
        <v>730</v>
      </c>
      <c r="E40" s="54" t="s">
        <v>731</v>
      </c>
      <c r="F40" s="54" t="s">
        <v>732</v>
      </c>
      <c r="G40" s="54" t="s">
        <v>734</v>
      </c>
    </row>
    <row r="41" ht="37.5" customHeight="1">
      <c r="A41" s="57" t="s">
        <v>735</v>
      </c>
      <c r="B41" s="57" t="s">
        <v>736</v>
      </c>
      <c r="C41" s="57" t="s">
        <v>13</v>
      </c>
      <c r="D41" s="57" t="s">
        <v>738</v>
      </c>
      <c r="E41" s="57" t="s">
        <v>731</v>
      </c>
      <c r="F41" s="57" t="s">
        <v>732</v>
      </c>
      <c r="G41" s="61" t="s">
        <v>739</v>
      </c>
    </row>
    <row r="42" ht="15.75" customHeight="1"/>
    <row r="43" ht="24.0" customHeight="1">
      <c r="A43" s="49" t="s">
        <v>748</v>
      </c>
      <c r="B43" s="2"/>
      <c r="C43" s="2"/>
      <c r="D43" s="2"/>
      <c r="E43" s="2"/>
      <c r="F43" s="2"/>
      <c r="G43" s="2"/>
      <c r="H43" s="2"/>
      <c r="I43" s="2"/>
      <c r="J43" s="2"/>
      <c r="K43" s="3"/>
    </row>
    <row r="44" ht="31.5" customHeight="1">
      <c r="A44" s="51" t="s">
        <v>419</v>
      </c>
      <c r="B44" s="51" t="s">
        <v>211</v>
      </c>
      <c r="C44" s="51" t="s">
        <v>761</v>
      </c>
      <c r="D44" s="51" t="s">
        <v>546</v>
      </c>
      <c r="E44" s="51" t="s">
        <v>422</v>
      </c>
      <c r="F44" s="51" t="s">
        <v>225</v>
      </c>
      <c r="G44" s="51" t="s">
        <v>764</v>
      </c>
      <c r="H44" s="51" t="s">
        <v>765</v>
      </c>
      <c r="I44" s="51" t="s">
        <v>602</v>
      </c>
      <c r="J44" s="51" t="s">
        <v>768</v>
      </c>
      <c r="K44" s="51" t="s">
        <v>769</v>
      </c>
      <c r="L44" s="51" t="s">
        <v>372</v>
      </c>
    </row>
    <row r="45" ht="27.75" customHeight="1">
      <c r="A45" s="57" t="s">
        <v>242</v>
      </c>
      <c r="B45" s="57" t="s">
        <v>245</v>
      </c>
      <c r="C45" s="57" t="s">
        <v>247</v>
      </c>
      <c r="D45" s="57" t="s">
        <v>249</v>
      </c>
      <c r="E45" s="63">
        <v>26.98</v>
      </c>
      <c r="F45" s="64">
        <v>0.08993333333333334</v>
      </c>
      <c r="G45" s="57" t="s">
        <v>669</v>
      </c>
      <c r="H45" s="57" t="s">
        <v>671</v>
      </c>
      <c r="I45" s="57" t="s">
        <v>582</v>
      </c>
      <c r="J45" s="57" t="s">
        <v>13</v>
      </c>
      <c r="K45" s="57" t="s">
        <v>771</v>
      </c>
      <c r="L45" s="61" t="s">
        <v>772</v>
      </c>
    </row>
    <row r="46" ht="27.75" customHeight="1">
      <c r="A46" s="54" t="s">
        <v>281</v>
      </c>
      <c r="B46" s="54" t="s">
        <v>282</v>
      </c>
      <c r="C46" s="54" t="s">
        <v>247</v>
      </c>
      <c r="D46" s="54" t="s">
        <v>283</v>
      </c>
      <c r="E46" s="65">
        <v>19.05</v>
      </c>
      <c r="F46" s="66">
        <v>0.0635</v>
      </c>
      <c r="G46" s="54" t="s">
        <v>664</v>
      </c>
      <c r="H46" s="54" t="s">
        <v>665</v>
      </c>
      <c r="I46" s="54" t="s">
        <v>608</v>
      </c>
      <c r="J46" s="54" t="s">
        <v>13</v>
      </c>
      <c r="K46" s="54" t="s">
        <v>771</v>
      </c>
      <c r="L46" s="61" t="s">
        <v>782</v>
      </c>
    </row>
    <row r="47" ht="27.75" customHeight="1">
      <c r="A47" s="57" t="s">
        <v>285</v>
      </c>
      <c r="B47" s="57" t="s">
        <v>287</v>
      </c>
      <c r="C47" s="57" t="s">
        <v>247</v>
      </c>
      <c r="D47" s="57" t="s">
        <v>288</v>
      </c>
      <c r="E47" s="63">
        <v>15.87</v>
      </c>
      <c r="F47" s="64">
        <v>0.0529</v>
      </c>
      <c r="G47" s="57" t="s">
        <v>789</v>
      </c>
      <c r="H47" s="57" t="s">
        <v>651</v>
      </c>
      <c r="I47" s="57" t="s">
        <v>608</v>
      </c>
      <c r="J47" s="57" t="s">
        <v>13</v>
      </c>
      <c r="K47" s="57" t="s">
        <v>790</v>
      </c>
      <c r="L47" s="61" t="s">
        <v>652</v>
      </c>
    </row>
    <row r="48" ht="27.75" customHeight="1">
      <c r="A48" s="54" t="s">
        <v>292</v>
      </c>
      <c r="B48" s="54" t="s">
        <v>294</v>
      </c>
      <c r="C48" s="54" t="s">
        <v>295</v>
      </c>
      <c r="D48" s="54" t="s">
        <v>297</v>
      </c>
      <c r="E48" s="65">
        <v>15.87</v>
      </c>
      <c r="F48" s="66">
        <v>0.0529</v>
      </c>
      <c r="G48" s="54" t="s">
        <v>724</v>
      </c>
      <c r="H48" s="54" t="s">
        <v>725</v>
      </c>
      <c r="I48" s="54" t="s">
        <v>608</v>
      </c>
      <c r="J48" s="54" t="s">
        <v>13</v>
      </c>
      <c r="K48" s="54" t="s">
        <v>791</v>
      </c>
      <c r="L48" s="61" t="s">
        <v>792</v>
      </c>
    </row>
    <row r="49" ht="27.75" customHeight="1">
      <c r="A49" s="57" t="s">
        <v>307</v>
      </c>
      <c r="B49" s="57" t="s">
        <v>309</v>
      </c>
      <c r="C49" s="57" t="s">
        <v>311</v>
      </c>
      <c r="D49" s="57" t="s">
        <v>312</v>
      </c>
      <c r="E49" s="63">
        <v>12.7</v>
      </c>
      <c r="F49" s="64">
        <v>0.04233333333333333</v>
      </c>
      <c r="G49" s="57" t="s">
        <v>793</v>
      </c>
      <c r="H49" s="57" t="s">
        <v>651</v>
      </c>
      <c r="I49" s="57" t="s">
        <v>608</v>
      </c>
      <c r="J49" s="57" t="s">
        <v>13</v>
      </c>
      <c r="K49" s="57" t="s">
        <v>794</v>
      </c>
      <c r="L49" s="61" t="s">
        <v>652</v>
      </c>
    </row>
    <row r="50" ht="27.75" customHeight="1">
      <c r="A50" s="54" t="s">
        <v>321</v>
      </c>
      <c r="B50" s="54" t="s">
        <v>323</v>
      </c>
      <c r="C50" s="54" t="s">
        <v>247</v>
      </c>
      <c r="D50" s="54" t="s">
        <v>324</v>
      </c>
      <c r="E50" s="65">
        <v>11.11</v>
      </c>
      <c r="F50" s="66">
        <v>0.03703333333333333</v>
      </c>
      <c r="G50" s="54" t="s">
        <v>675</v>
      </c>
      <c r="H50" s="54" t="s">
        <v>676</v>
      </c>
      <c r="I50" s="54" t="s">
        <v>608</v>
      </c>
      <c r="J50" s="54" t="s">
        <v>13</v>
      </c>
      <c r="K50" s="54" t="s">
        <v>796</v>
      </c>
      <c r="L50" s="61" t="s">
        <v>797</v>
      </c>
    </row>
    <row r="51" ht="27.75" customHeight="1">
      <c r="A51" s="57" t="s">
        <v>335</v>
      </c>
      <c r="B51" s="57" t="s">
        <v>336</v>
      </c>
      <c r="C51" s="57" t="s">
        <v>338</v>
      </c>
      <c r="D51" s="57" t="s">
        <v>340</v>
      </c>
      <c r="E51" s="63">
        <v>9.52</v>
      </c>
      <c r="F51" s="64">
        <v>0.03173333333333333</v>
      </c>
      <c r="G51" s="57" t="s">
        <v>715</v>
      </c>
      <c r="H51" s="57" t="s">
        <v>720</v>
      </c>
      <c r="I51" s="57" t="s">
        <v>608</v>
      </c>
      <c r="J51" s="57" t="s">
        <v>13</v>
      </c>
      <c r="K51" s="57" t="s">
        <v>806</v>
      </c>
      <c r="L51" s="57" t="s">
        <v>808</v>
      </c>
    </row>
    <row r="52" ht="27.75" customHeight="1">
      <c r="A52" s="54" t="s">
        <v>347</v>
      </c>
      <c r="B52" s="54" t="s">
        <v>349</v>
      </c>
      <c r="C52" s="54" t="s">
        <v>311</v>
      </c>
      <c r="D52" s="54" t="s">
        <v>324</v>
      </c>
      <c r="E52" s="65">
        <v>8.47</v>
      </c>
      <c r="F52" s="66">
        <v>0.02823333333333334</v>
      </c>
      <c r="G52" s="54" t="s">
        <v>675</v>
      </c>
      <c r="H52" s="54" t="s">
        <v>676</v>
      </c>
      <c r="I52" s="54" t="s">
        <v>608</v>
      </c>
      <c r="J52" s="54" t="s">
        <v>13</v>
      </c>
      <c r="K52" s="54" t="s">
        <v>810</v>
      </c>
      <c r="L52" s="61" t="s">
        <v>797</v>
      </c>
    </row>
    <row r="53" ht="37.5" customHeight="1">
      <c r="A53" s="57" t="s">
        <v>358</v>
      </c>
      <c r="B53" s="57" t="s">
        <v>359</v>
      </c>
      <c r="C53" s="57" t="s">
        <v>311</v>
      </c>
      <c r="D53" s="57" t="s">
        <v>362</v>
      </c>
      <c r="E53" s="63">
        <v>6.35</v>
      </c>
      <c r="F53" s="64">
        <v>0.02116666666666667</v>
      </c>
      <c r="G53" s="57" t="s">
        <v>813</v>
      </c>
      <c r="H53" s="57" t="s">
        <v>646</v>
      </c>
      <c r="I53" s="57" t="s">
        <v>608</v>
      </c>
      <c r="J53" s="57" t="s">
        <v>13</v>
      </c>
      <c r="K53" s="57" t="s">
        <v>814</v>
      </c>
      <c r="L53" s="61" t="s">
        <v>815</v>
      </c>
    </row>
    <row r="54" ht="37.5" customHeight="1">
      <c r="A54" s="54" t="s">
        <v>370</v>
      </c>
      <c r="B54" s="54" t="s">
        <v>371</v>
      </c>
      <c r="C54" s="54" t="s">
        <v>311</v>
      </c>
      <c r="D54" s="54" t="s">
        <v>249</v>
      </c>
      <c r="E54" s="65">
        <v>7.94</v>
      </c>
      <c r="F54" s="66">
        <v>0.02646666666666667</v>
      </c>
      <c r="G54" s="54" t="s">
        <v>669</v>
      </c>
      <c r="H54" s="54" t="s">
        <v>671</v>
      </c>
      <c r="I54" s="54" t="s">
        <v>582</v>
      </c>
      <c r="J54" s="54" t="s">
        <v>13</v>
      </c>
      <c r="K54" s="54" t="s">
        <v>829</v>
      </c>
      <c r="L54" s="61" t="s">
        <v>772</v>
      </c>
    </row>
    <row r="55" ht="27.75" customHeight="1">
      <c r="A55" s="57" t="s">
        <v>383</v>
      </c>
      <c r="B55" s="57" t="s">
        <v>385</v>
      </c>
      <c r="C55" s="57" t="s">
        <v>311</v>
      </c>
      <c r="D55" s="57" t="s">
        <v>387</v>
      </c>
      <c r="E55" s="63">
        <v>6.35</v>
      </c>
      <c r="F55" s="64">
        <v>0.02116666666666667</v>
      </c>
      <c r="G55" s="57" t="s">
        <v>833</v>
      </c>
      <c r="H55" s="57" t="s">
        <v>651</v>
      </c>
      <c r="I55" s="57" t="s">
        <v>608</v>
      </c>
      <c r="J55" s="57" t="s">
        <v>13</v>
      </c>
      <c r="K55" s="57" t="s">
        <v>836</v>
      </c>
      <c r="L55" s="61" t="s">
        <v>652</v>
      </c>
    </row>
    <row r="56" ht="27.75" customHeight="1">
      <c r="A56" s="54" t="s">
        <v>397</v>
      </c>
      <c r="B56" s="54" t="s">
        <v>399</v>
      </c>
      <c r="C56" s="54" t="s">
        <v>311</v>
      </c>
      <c r="D56" s="54" t="s">
        <v>312</v>
      </c>
      <c r="E56" s="65">
        <v>6.35</v>
      </c>
      <c r="F56" s="66">
        <v>0.02116666666666667</v>
      </c>
      <c r="G56" s="54" t="s">
        <v>793</v>
      </c>
      <c r="H56" s="54" t="s">
        <v>651</v>
      </c>
      <c r="I56" s="54" t="s">
        <v>608</v>
      </c>
      <c r="J56" s="54" t="s">
        <v>13</v>
      </c>
      <c r="K56" s="54" t="s">
        <v>836</v>
      </c>
      <c r="L56" s="61" t="s">
        <v>652</v>
      </c>
    </row>
    <row r="57" ht="27.75" customHeight="1">
      <c r="A57" s="57" t="s">
        <v>400</v>
      </c>
      <c r="B57" s="57" t="s">
        <v>400</v>
      </c>
      <c r="C57" s="57" t="s">
        <v>401</v>
      </c>
      <c r="D57" s="57" t="s">
        <v>402</v>
      </c>
      <c r="E57" s="63">
        <v>19.05</v>
      </c>
      <c r="F57" s="64">
        <v>0.0635</v>
      </c>
      <c r="G57" s="57" t="s">
        <v>625</v>
      </c>
      <c r="H57" s="57" t="s">
        <v>626</v>
      </c>
      <c r="I57" s="57" t="s">
        <v>608</v>
      </c>
      <c r="J57" s="57" t="s">
        <v>13</v>
      </c>
      <c r="K57" s="57" t="s">
        <v>869</v>
      </c>
      <c r="L57" s="57" t="s">
        <v>870</v>
      </c>
    </row>
    <row r="58" ht="27.75" customHeight="1">
      <c r="A58" s="54" t="s">
        <v>405</v>
      </c>
      <c r="B58" s="54" t="s">
        <v>406</v>
      </c>
      <c r="C58" s="54" t="s">
        <v>401</v>
      </c>
      <c r="D58" s="54" t="s">
        <v>407</v>
      </c>
      <c r="E58" s="65">
        <v>15.87</v>
      </c>
      <c r="F58" s="66">
        <v>0.0529</v>
      </c>
      <c r="G58" s="54" t="s">
        <v>873</v>
      </c>
      <c r="H58" s="54" t="s">
        <v>607</v>
      </c>
      <c r="I58" s="54" t="s">
        <v>608</v>
      </c>
      <c r="J58" s="54" t="s">
        <v>13</v>
      </c>
      <c r="K58" s="54" t="s">
        <v>874</v>
      </c>
      <c r="L58" s="61" t="s">
        <v>610</v>
      </c>
    </row>
    <row r="59" ht="27.75" customHeight="1">
      <c r="A59" s="57" t="s">
        <v>408</v>
      </c>
      <c r="B59" s="57" t="s">
        <v>408</v>
      </c>
      <c r="C59" s="57" t="s">
        <v>401</v>
      </c>
      <c r="D59" s="57" t="s">
        <v>402</v>
      </c>
      <c r="E59" s="63">
        <v>12.7</v>
      </c>
      <c r="F59" s="64">
        <v>0.04233333333333333</v>
      </c>
      <c r="G59" s="57" t="s">
        <v>625</v>
      </c>
      <c r="H59" s="57" t="s">
        <v>626</v>
      </c>
      <c r="I59" s="57" t="s">
        <v>608</v>
      </c>
      <c r="J59" s="57" t="s">
        <v>13</v>
      </c>
      <c r="K59" s="57" t="s">
        <v>869</v>
      </c>
      <c r="L59" s="57" t="s">
        <v>870</v>
      </c>
    </row>
    <row r="60" ht="27.75" customHeight="1">
      <c r="A60" s="54" t="s">
        <v>409</v>
      </c>
      <c r="B60" s="54" t="s">
        <v>410</v>
      </c>
      <c r="C60" s="54" t="s">
        <v>411</v>
      </c>
      <c r="D60" s="54" t="s">
        <v>412</v>
      </c>
      <c r="E60" s="65">
        <v>25.4</v>
      </c>
      <c r="F60" s="66">
        <v>0.08466666666666667</v>
      </c>
      <c r="G60" s="54" t="s">
        <v>873</v>
      </c>
      <c r="H60" s="54" t="s">
        <v>607</v>
      </c>
      <c r="I60" s="54" t="s">
        <v>608</v>
      </c>
      <c r="J60" s="54" t="s">
        <v>13</v>
      </c>
      <c r="K60" s="54" t="s">
        <v>884</v>
      </c>
      <c r="L60" s="61" t="s">
        <v>610</v>
      </c>
    </row>
    <row r="61" ht="27.75" customHeight="1">
      <c r="A61" s="57" t="s">
        <v>417</v>
      </c>
      <c r="B61" s="57" t="s">
        <v>418</v>
      </c>
      <c r="C61" s="57" t="s">
        <v>420</v>
      </c>
      <c r="D61" s="57" t="s">
        <v>421</v>
      </c>
      <c r="E61" s="63">
        <v>19.05</v>
      </c>
      <c r="F61" s="64">
        <v>0.0635</v>
      </c>
      <c r="G61" s="57" t="s">
        <v>617</v>
      </c>
      <c r="H61" s="57" t="s">
        <v>618</v>
      </c>
      <c r="I61" s="57" t="s">
        <v>608</v>
      </c>
      <c r="J61" s="57" t="s">
        <v>13</v>
      </c>
      <c r="K61" s="57" t="s">
        <v>891</v>
      </c>
      <c r="L61" s="61" t="s">
        <v>610</v>
      </c>
    </row>
    <row r="62" ht="27.75" customHeight="1">
      <c r="A62" s="54" t="s">
        <v>425</v>
      </c>
      <c r="B62" s="54" t="s">
        <v>427</v>
      </c>
      <c r="C62" s="54" t="s">
        <v>429</v>
      </c>
      <c r="D62" s="54" t="s">
        <v>430</v>
      </c>
      <c r="E62" s="65">
        <v>22.22</v>
      </c>
      <c r="F62" s="66">
        <v>0.07406666666666667</v>
      </c>
      <c r="G62" s="54" t="s">
        <v>736</v>
      </c>
      <c r="H62" s="54" t="s">
        <v>895</v>
      </c>
      <c r="I62" s="54" t="s">
        <v>731</v>
      </c>
      <c r="J62" s="54" t="s">
        <v>13</v>
      </c>
      <c r="K62" s="54" t="s">
        <v>897</v>
      </c>
      <c r="L62" s="61" t="s">
        <v>739</v>
      </c>
    </row>
    <row r="63" ht="27.75" customHeight="1">
      <c r="A63" s="57" t="s">
        <v>432</v>
      </c>
      <c r="B63" s="57" t="s">
        <v>432</v>
      </c>
      <c r="C63" s="57" t="s">
        <v>338</v>
      </c>
      <c r="D63" s="57" t="s">
        <v>433</v>
      </c>
      <c r="E63" s="63">
        <v>12.7</v>
      </c>
      <c r="F63" s="64">
        <v>0.04233333333333333</v>
      </c>
      <c r="G63" s="57" t="s">
        <v>433</v>
      </c>
      <c r="H63" s="57" t="s">
        <v>904</v>
      </c>
      <c r="I63" s="57" t="s">
        <v>905</v>
      </c>
      <c r="J63" s="57" t="s">
        <v>13</v>
      </c>
      <c r="K63" s="57" t="s">
        <v>906</v>
      </c>
      <c r="L63" s="61" t="s">
        <v>713</v>
      </c>
    </row>
    <row r="64" ht="27.75" customHeight="1">
      <c r="A64" s="54" t="s">
        <v>434</v>
      </c>
      <c r="B64" s="54" t="s">
        <v>435</v>
      </c>
      <c r="C64" s="54" t="s">
        <v>436</v>
      </c>
      <c r="D64" s="54" t="s">
        <v>437</v>
      </c>
      <c r="E64" s="65">
        <v>10.58</v>
      </c>
      <c r="F64" s="66">
        <v>0.03526666666666667</v>
      </c>
      <c r="G64" s="54" t="s">
        <v>907</v>
      </c>
      <c r="H64" s="54" t="s">
        <v>909</v>
      </c>
      <c r="I64" s="54" t="s">
        <v>731</v>
      </c>
      <c r="J64" s="54" t="s">
        <v>13</v>
      </c>
      <c r="K64" s="54" t="s">
        <v>911</v>
      </c>
      <c r="L64" s="54" t="s">
        <v>912</v>
      </c>
    </row>
    <row r="65" ht="37.5" customHeight="1">
      <c r="A65" s="57" t="s">
        <v>439</v>
      </c>
      <c r="B65" s="57" t="s">
        <v>440</v>
      </c>
      <c r="C65" s="57" t="s">
        <v>441</v>
      </c>
      <c r="D65" s="57" t="s">
        <v>430</v>
      </c>
      <c r="E65" s="63">
        <v>15.87</v>
      </c>
      <c r="F65" s="64">
        <v>0.0529</v>
      </c>
      <c r="G65" s="57" t="s">
        <v>759</v>
      </c>
      <c r="H65" s="57" t="s">
        <v>895</v>
      </c>
      <c r="I65" s="57" t="s">
        <v>731</v>
      </c>
      <c r="J65" s="57" t="s">
        <v>13</v>
      </c>
      <c r="K65" s="57" t="s">
        <v>915</v>
      </c>
      <c r="L65" s="61" t="s">
        <v>739</v>
      </c>
    </row>
    <row r="66" ht="15.75" customHeight="1"/>
    <row r="67" ht="15.75" customHeight="1"/>
    <row r="68" ht="37.5" customHeight="1">
      <c r="A68" s="49" t="s">
        <v>916</v>
      </c>
      <c r="B68" s="2"/>
      <c r="C68" s="2"/>
      <c r="D68" s="2"/>
      <c r="E68" s="2"/>
      <c r="F68" s="2"/>
      <c r="G68" s="2"/>
      <c r="H68" s="2"/>
      <c r="I68" s="2"/>
      <c r="J68" s="2"/>
      <c r="K68" s="3"/>
    </row>
    <row r="69" ht="31.5" customHeight="1">
      <c r="A69" s="51" t="s">
        <v>918</v>
      </c>
      <c r="B69" s="51" t="s">
        <v>919</v>
      </c>
      <c r="C69" s="51" t="s">
        <v>920</v>
      </c>
      <c r="D69" s="51" t="s">
        <v>921</v>
      </c>
      <c r="E69" s="51" t="s">
        <v>602</v>
      </c>
      <c r="F69" s="51" t="s">
        <v>923</v>
      </c>
    </row>
    <row r="70" ht="51.75" customHeight="1">
      <c r="A70" s="54" t="s">
        <v>649</v>
      </c>
      <c r="B70" s="65">
        <v>41.27</v>
      </c>
      <c r="C70" s="66">
        <v>0.1375666666666667</v>
      </c>
      <c r="D70" s="54" t="s">
        <v>651</v>
      </c>
      <c r="E70" s="54" t="s">
        <v>608</v>
      </c>
      <c r="F70" s="80">
        <v>0.02214823333333333</v>
      </c>
    </row>
    <row r="71" ht="51.75" customHeight="1">
      <c r="A71" s="57" t="s">
        <v>604</v>
      </c>
      <c r="B71" s="63">
        <v>41.27</v>
      </c>
      <c r="C71" s="64">
        <v>0.1375666666666667</v>
      </c>
      <c r="D71" s="57" t="s">
        <v>607</v>
      </c>
      <c r="E71" s="57" t="s">
        <v>608</v>
      </c>
      <c r="F71" s="81">
        <v>0.01030374333333334</v>
      </c>
    </row>
    <row r="72" ht="51.75" customHeight="1">
      <c r="A72" s="54" t="s">
        <v>735</v>
      </c>
      <c r="B72" s="65">
        <v>38.09</v>
      </c>
      <c r="C72" s="66">
        <v>0.1269666666666667</v>
      </c>
      <c r="D72" s="54" t="s">
        <v>895</v>
      </c>
      <c r="E72" s="54" t="s">
        <v>731</v>
      </c>
      <c r="F72" s="82"/>
    </row>
    <row r="73" ht="51.75" customHeight="1">
      <c r="A73" s="57" t="s">
        <v>242</v>
      </c>
      <c r="B73" s="63">
        <v>34.92</v>
      </c>
      <c r="C73" s="64">
        <v>0.1164</v>
      </c>
      <c r="D73" s="57" t="s">
        <v>671</v>
      </c>
      <c r="E73" s="57" t="s">
        <v>582</v>
      </c>
      <c r="F73" s="81">
        <v>0.01300188</v>
      </c>
    </row>
    <row r="74" ht="51.75" customHeight="1">
      <c r="A74" s="54" t="s">
        <v>624</v>
      </c>
      <c r="B74" s="65">
        <v>31.75</v>
      </c>
      <c r="C74" s="66">
        <v>0.1058333333333333</v>
      </c>
      <c r="D74" s="54" t="s">
        <v>626</v>
      </c>
      <c r="E74" s="54" t="s">
        <v>608</v>
      </c>
      <c r="F74" s="80">
        <v>0.0187325</v>
      </c>
    </row>
    <row r="75" ht="51.75" customHeight="1">
      <c r="A75" s="57" t="s">
        <v>321</v>
      </c>
      <c r="B75" s="63">
        <v>19.58</v>
      </c>
      <c r="C75" s="64">
        <v>0.06526666666666667</v>
      </c>
      <c r="D75" s="57" t="s">
        <v>676</v>
      </c>
      <c r="E75" s="57" t="s">
        <v>608</v>
      </c>
      <c r="F75" s="81">
        <v>-0.003883366666666667</v>
      </c>
    </row>
    <row r="76" ht="51.75" customHeight="1">
      <c r="A76" s="54" t="s">
        <v>663</v>
      </c>
      <c r="B76" s="65">
        <v>19.05</v>
      </c>
      <c r="C76" s="66">
        <v>0.0635</v>
      </c>
      <c r="D76" s="54" t="s">
        <v>665</v>
      </c>
      <c r="E76" s="54" t="s">
        <v>608</v>
      </c>
      <c r="F76" s="80">
        <v>0.0048133</v>
      </c>
    </row>
    <row r="77" ht="51.75" customHeight="1">
      <c r="A77" s="57" t="s">
        <v>616</v>
      </c>
      <c r="B77" s="63">
        <v>19.05</v>
      </c>
      <c r="C77" s="64">
        <v>0.0635</v>
      </c>
      <c r="D77" s="57" t="s">
        <v>618</v>
      </c>
      <c r="E77" s="57" t="s">
        <v>608</v>
      </c>
      <c r="F77" s="81">
        <v>0.0035814</v>
      </c>
    </row>
    <row r="78" ht="51.75" customHeight="1">
      <c r="A78" s="54" t="s">
        <v>294</v>
      </c>
      <c r="B78" s="65">
        <v>15.87</v>
      </c>
      <c r="C78" s="66">
        <v>0.0529</v>
      </c>
      <c r="D78" s="54" t="s">
        <v>725</v>
      </c>
      <c r="E78" s="54" t="s">
        <v>608</v>
      </c>
      <c r="F78" s="80">
        <v>0.039146</v>
      </c>
    </row>
    <row r="79" ht="51.75" customHeight="1">
      <c r="A79" s="57" t="s">
        <v>709</v>
      </c>
      <c r="B79" s="63">
        <v>12.7</v>
      </c>
      <c r="C79" s="64">
        <v>0.04233333333333333</v>
      </c>
      <c r="D79" s="57" t="s">
        <v>904</v>
      </c>
      <c r="E79" s="57" t="s">
        <v>905</v>
      </c>
      <c r="F79" s="84"/>
    </row>
    <row r="80" ht="51.75" customHeight="1">
      <c r="A80" s="54" t="s">
        <v>967</v>
      </c>
      <c r="B80" s="65">
        <v>10.58</v>
      </c>
      <c r="C80" s="66">
        <v>0.03526666666666667</v>
      </c>
      <c r="D80" s="54" t="s">
        <v>909</v>
      </c>
      <c r="E80" s="54" t="s">
        <v>731</v>
      </c>
      <c r="F80" s="80">
        <v>0.001509413333333334</v>
      </c>
    </row>
    <row r="81" ht="51.75" customHeight="1">
      <c r="A81" s="57" t="s">
        <v>718</v>
      </c>
      <c r="B81" s="63">
        <v>9.52</v>
      </c>
      <c r="C81" s="64">
        <v>0.03173333333333333</v>
      </c>
      <c r="D81" s="57" t="s">
        <v>720</v>
      </c>
      <c r="E81" s="57" t="s">
        <v>608</v>
      </c>
      <c r="F81" s="81">
        <v>0.006419653333333332</v>
      </c>
    </row>
    <row r="82" ht="51.75" customHeight="1">
      <c r="A82" s="54" t="s">
        <v>644</v>
      </c>
      <c r="B82" s="65">
        <v>6.35</v>
      </c>
      <c r="C82" s="66">
        <v>0.02116666666666667</v>
      </c>
      <c r="D82" s="54" t="s">
        <v>646</v>
      </c>
      <c r="E82" s="54" t="s">
        <v>608</v>
      </c>
      <c r="F82" s="80">
        <v>0.003208866666666668</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A1:K1"/>
    <mergeCell ref="A2:K2"/>
    <mergeCell ref="A4:K4"/>
    <mergeCell ref="A13:K13"/>
    <mergeCell ref="A23:K23"/>
    <mergeCell ref="A33:K33"/>
    <mergeCell ref="A43:K43"/>
    <mergeCell ref="A68:K68"/>
  </mergeCells>
  <hyperlinks>
    <hyperlink r:id="rId1" ref="G15"/>
    <hyperlink r:id="rId2" ref="G16"/>
    <hyperlink r:id="rId3" ref="G17"/>
    <hyperlink r:id="rId4" ref="G18"/>
    <hyperlink r:id="rId5" ref="G19"/>
    <hyperlink r:id="rId6" ref="G26"/>
    <hyperlink r:id="rId7" ref="G27"/>
    <hyperlink r:id="rId8" ref="G35"/>
    <hyperlink r:id="rId9" ref="G36"/>
    <hyperlink r:id="rId10" ref="G37"/>
    <hyperlink r:id="rId11" ref="G41"/>
    <hyperlink r:id="rId12" ref="L45"/>
    <hyperlink r:id="rId13" ref="L46"/>
    <hyperlink r:id="rId14" ref="L47"/>
    <hyperlink r:id="rId15" ref="L48"/>
    <hyperlink r:id="rId16" ref="L49"/>
    <hyperlink r:id="rId17" ref="L50"/>
    <hyperlink r:id="rId18" ref="L52"/>
    <hyperlink r:id="rId19" ref="L53"/>
    <hyperlink r:id="rId20" ref="L54"/>
    <hyperlink r:id="rId21" ref="L55"/>
    <hyperlink r:id="rId22" ref="L56"/>
    <hyperlink r:id="rId23" ref="L58"/>
    <hyperlink r:id="rId24" ref="L60"/>
    <hyperlink r:id="rId25" ref="L61"/>
    <hyperlink r:id="rId26" ref="L62"/>
    <hyperlink r:id="rId27" ref="L63"/>
    <hyperlink r:id="rId28" ref="L65"/>
  </hyperlinks>
  <printOptions/>
  <pageMargins bottom="0.4" footer="0.0" header="0.0" left="0.25" right="0.25" top="0.4"/>
  <pageSetup fitToHeight="0" orientation="landscape"/>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34.0"/>
    <col customWidth="1" min="3" max="3" width="68.0"/>
    <col customWidth="1" min="4" max="4" width="70.0"/>
    <col customWidth="1" min="5" max="5" width="18.0"/>
    <col customWidth="1" min="6" max="6" width="20.0"/>
    <col customWidth="1" min="7" max="7" width="26.0"/>
    <col customWidth="1" min="8" max="26" width="8.71"/>
  </cols>
  <sheetData>
    <row r="1" ht="33.75" customHeight="1">
      <c r="A1" s="41" t="s">
        <v>654</v>
      </c>
      <c r="B1" s="2"/>
      <c r="C1" s="2"/>
      <c r="D1" s="2"/>
      <c r="E1" s="2"/>
      <c r="F1" s="2"/>
      <c r="G1" s="3"/>
    </row>
    <row r="3" ht="24.0" customHeight="1">
      <c r="A3" s="49" t="s">
        <v>656</v>
      </c>
      <c r="B3" s="2"/>
      <c r="C3" s="2"/>
      <c r="D3" s="2"/>
      <c r="E3" s="2"/>
      <c r="F3" s="2"/>
      <c r="G3" s="3"/>
    </row>
    <row r="4" ht="31.5" customHeight="1">
      <c r="A4" s="51" t="s">
        <v>85</v>
      </c>
      <c r="B4" s="51" t="s">
        <v>668</v>
      </c>
      <c r="C4" s="51" t="s">
        <v>670</v>
      </c>
      <c r="D4" s="51" t="s">
        <v>673</v>
      </c>
      <c r="E4" s="51" t="s">
        <v>125</v>
      </c>
    </row>
    <row r="5" ht="37.5" customHeight="1">
      <c r="A5" s="54" t="s">
        <v>677</v>
      </c>
      <c r="B5" s="54" t="s">
        <v>679</v>
      </c>
      <c r="C5" s="54" t="s">
        <v>680</v>
      </c>
      <c r="D5" s="54" t="s">
        <v>683</v>
      </c>
      <c r="E5" s="54" t="s">
        <v>684</v>
      </c>
    </row>
    <row r="6" ht="51.75" customHeight="1">
      <c r="A6" s="57" t="s">
        <v>686</v>
      </c>
      <c r="B6" s="57" t="s">
        <v>688</v>
      </c>
      <c r="C6" s="57" t="s">
        <v>689</v>
      </c>
      <c r="D6" s="57" t="s">
        <v>691</v>
      </c>
      <c r="E6" s="57" t="s">
        <v>692</v>
      </c>
    </row>
    <row r="7" ht="51.75" customHeight="1">
      <c r="A7" s="54" t="s">
        <v>693</v>
      </c>
      <c r="B7" s="54" t="s">
        <v>694</v>
      </c>
      <c r="C7" s="54" t="s">
        <v>696</v>
      </c>
      <c r="D7" s="54" t="s">
        <v>697</v>
      </c>
      <c r="E7" s="54" t="s">
        <v>698</v>
      </c>
    </row>
    <row r="10" ht="24.0" customHeight="1">
      <c r="A10" s="49" t="s">
        <v>700</v>
      </c>
      <c r="B10" s="2"/>
      <c r="C10" s="2"/>
      <c r="D10" s="2"/>
      <c r="E10" s="2"/>
      <c r="F10" s="2"/>
      <c r="G10" s="3"/>
    </row>
    <row r="11" ht="31.5" customHeight="1">
      <c r="A11" s="51" t="s">
        <v>703</v>
      </c>
      <c r="B11" s="51" t="s">
        <v>422</v>
      </c>
      <c r="C11" s="51" t="s">
        <v>225</v>
      </c>
    </row>
    <row r="12" ht="27.75" customHeight="1">
      <c r="A12" s="57" t="s">
        <v>708</v>
      </c>
      <c r="B12" s="63">
        <v>252.74</v>
      </c>
      <c r="C12" s="64">
        <f t="shared" ref="C12:C16" si="1">B12/357</f>
        <v>0.7079551821</v>
      </c>
    </row>
    <row r="13" ht="27.75" customHeight="1">
      <c r="A13" s="54" t="s">
        <v>430</v>
      </c>
      <c r="B13" s="65">
        <v>46.16</v>
      </c>
      <c r="C13" s="66">
        <f t="shared" si="1"/>
        <v>0.1292997199</v>
      </c>
    </row>
    <row r="14" ht="27.75" customHeight="1">
      <c r="A14" s="57" t="s">
        <v>544</v>
      </c>
      <c r="B14" s="63">
        <v>12.23</v>
      </c>
      <c r="C14" s="64">
        <f t="shared" si="1"/>
        <v>0.03425770308</v>
      </c>
    </row>
    <row r="15" ht="27.75" customHeight="1">
      <c r="A15" s="54" t="s">
        <v>542</v>
      </c>
      <c r="B15" s="65">
        <v>27.24</v>
      </c>
      <c r="C15" s="66">
        <f t="shared" si="1"/>
        <v>0.07630252101</v>
      </c>
    </row>
    <row r="16" ht="27.75" customHeight="1">
      <c r="A16" s="57" t="s">
        <v>295</v>
      </c>
      <c r="B16" s="63">
        <v>18.63</v>
      </c>
      <c r="C16" s="64">
        <f t="shared" si="1"/>
        <v>0.05218487395</v>
      </c>
    </row>
    <row r="19" ht="37.5" customHeight="1">
      <c r="A19" s="49" t="s">
        <v>723</v>
      </c>
      <c r="B19" s="2"/>
      <c r="C19" s="2"/>
      <c r="D19" s="2"/>
      <c r="E19" s="2"/>
      <c r="F19" s="2"/>
      <c r="G19" s="3"/>
    </row>
    <row r="20" ht="31.5" customHeight="1">
      <c r="A20" s="51" t="s">
        <v>733</v>
      </c>
      <c r="B20" s="51" t="s">
        <v>708</v>
      </c>
      <c r="C20" s="51" t="s">
        <v>430</v>
      </c>
      <c r="D20" s="51" t="s">
        <v>737</v>
      </c>
      <c r="E20" s="51" t="s">
        <v>542</v>
      </c>
      <c r="F20" s="51" t="s">
        <v>295</v>
      </c>
      <c r="G20" s="51" t="s">
        <v>740</v>
      </c>
    </row>
    <row r="21" ht="37.5" customHeight="1">
      <c r="A21" s="54" t="s">
        <v>741</v>
      </c>
      <c r="B21" s="66">
        <v>0.7</v>
      </c>
      <c r="C21" s="66">
        <v>0.2</v>
      </c>
      <c r="D21" s="66">
        <v>0.05</v>
      </c>
      <c r="E21" s="66">
        <v>0.05</v>
      </c>
      <c r="F21" s="66">
        <v>0.0</v>
      </c>
      <c r="G21" s="54" t="s">
        <v>742</v>
      </c>
    </row>
    <row r="22" ht="37.5" customHeight="1">
      <c r="A22" s="57" t="s">
        <v>743</v>
      </c>
      <c r="B22" s="64">
        <v>0.55</v>
      </c>
      <c r="C22" s="64">
        <v>0.35</v>
      </c>
      <c r="D22" s="64">
        <v>0.05</v>
      </c>
      <c r="E22" s="64">
        <v>0.05</v>
      </c>
      <c r="F22" s="64">
        <v>0.0</v>
      </c>
      <c r="G22" s="57" t="s">
        <v>744</v>
      </c>
    </row>
    <row r="23" ht="37.5" customHeight="1">
      <c r="A23" s="54" t="s">
        <v>745</v>
      </c>
      <c r="B23" s="66">
        <v>0.45</v>
      </c>
      <c r="C23" s="66">
        <v>0.4</v>
      </c>
      <c r="D23" s="66">
        <v>0.05</v>
      </c>
      <c r="E23" s="66">
        <v>0.1</v>
      </c>
      <c r="F23" s="66">
        <v>0.0</v>
      </c>
      <c r="G23" s="54" t="s">
        <v>746</v>
      </c>
    </row>
    <row r="24" ht="15.75" customHeight="1"/>
    <row r="25" ht="15.75" customHeight="1"/>
    <row r="26" ht="24.0" customHeight="1">
      <c r="A26" s="49" t="s">
        <v>747</v>
      </c>
      <c r="B26" s="2"/>
      <c r="C26" s="2"/>
      <c r="D26" s="2"/>
      <c r="E26" s="2"/>
      <c r="F26" s="2"/>
      <c r="G26" s="3"/>
    </row>
    <row r="27" ht="31.5" customHeight="1">
      <c r="A27" s="51" t="s">
        <v>749</v>
      </c>
      <c r="B27" s="51" t="s">
        <v>750</v>
      </c>
      <c r="C27" s="51" t="s">
        <v>751</v>
      </c>
      <c r="D27" s="51" t="s">
        <v>752</v>
      </c>
      <c r="E27" s="51" t="s">
        <v>753</v>
      </c>
    </row>
    <row r="28" ht="69.75" customHeight="1">
      <c r="A28" s="57" t="s">
        <v>754</v>
      </c>
      <c r="B28" s="57" t="s">
        <v>755</v>
      </c>
      <c r="C28" s="57" t="s">
        <v>756</v>
      </c>
      <c r="D28" s="57" t="s">
        <v>757</v>
      </c>
      <c r="E28" s="57" t="s">
        <v>758</v>
      </c>
    </row>
    <row r="29" ht="69.75" customHeight="1">
      <c r="A29" s="54" t="s">
        <v>759</v>
      </c>
      <c r="B29" s="54" t="s">
        <v>760</v>
      </c>
      <c r="C29" s="54" t="s">
        <v>756</v>
      </c>
      <c r="D29" s="54" t="s">
        <v>762</v>
      </c>
      <c r="E29" s="54" t="s">
        <v>763</v>
      </c>
    </row>
    <row r="30" ht="51.75" customHeight="1">
      <c r="A30" s="57" t="s">
        <v>737</v>
      </c>
      <c r="B30" s="57" t="s">
        <v>766</v>
      </c>
      <c r="C30" s="57" t="s">
        <v>756</v>
      </c>
      <c r="D30" s="57" t="s">
        <v>767</v>
      </c>
      <c r="E30" s="57" t="s">
        <v>770</v>
      </c>
    </row>
    <row r="31" ht="51.75" customHeight="1">
      <c r="A31" s="54" t="s">
        <v>773</v>
      </c>
      <c r="B31" s="54" t="s">
        <v>774</v>
      </c>
      <c r="C31" s="54" t="s">
        <v>756</v>
      </c>
      <c r="D31" s="54" t="s">
        <v>775</v>
      </c>
      <c r="E31" s="54" t="s">
        <v>776</v>
      </c>
    </row>
    <row r="32" ht="69.75" customHeight="1">
      <c r="A32" s="57" t="s">
        <v>295</v>
      </c>
      <c r="B32" s="57" t="s">
        <v>777</v>
      </c>
      <c r="C32" s="57" t="s">
        <v>778</v>
      </c>
      <c r="D32" s="57" t="s">
        <v>779</v>
      </c>
      <c r="E32" s="57" t="s">
        <v>780</v>
      </c>
    </row>
    <row r="33" ht="15.75" customHeight="1"/>
    <row r="34" ht="24.0" customHeight="1">
      <c r="A34" s="49" t="s">
        <v>781</v>
      </c>
      <c r="B34" s="2"/>
      <c r="C34" s="2"/>
      <c r="D34" s="2"/>
      <c r="E34" s="2"/>
      <c r="F34" s="2"/>
      <c r="G34" s="3"/>
    </row>
    <row r="35" ht="31.5" customHeight="1">
      <c r="A35" s="51" t="s">
        <v>733</v>
      </c>
      <c r="B35" s="51" t="s">
        <v>783</v>
      </c>
      <c r="C35" s="51" t="s">
        <v>784</v>
      </c>
      <c r="D35" s="51" t="s">
        <v>785</v>
      </c>
      <c r="E35" s="51" t="s">
        <v>786</v>
      </c>
      <c r="F35" s="51" t="s">
        <v>787</v>
      </c>
      <c r="G35" s="51" t="s">
        <v>788</v>
      </c>
    </row>
    <row r="36" ht="27.75" customHeight="1">
      <c r="A36" s="57" t="s">
        <v>741</v>
      </c>
      <c r="B36" s="67">
        <v>70.0</v>
      </c>
      <c r="C36" s="67">
        <v>20.0</v>
      </c>
      <c r="D36" s="67">
        <v>5.0</v>
      </c>
      <c r="E36" s="67">
        <v>5.0</v>
      </c>
      <c r="F36" s="67">
        <v>0.0</v>
      </c>
      <c r="G36" s="64">
        <v>0.0885</v>
      </c>
    </row>
    <row r="37" ht="27.75" customHeight="1">
      <c r="A37" s="54" t="s">
        <v>743</v>
      </c>
      <c r="B37" s="68">
        <v>55.00000000000001</v>
      </c>
      <c r="C37" s="68">
        <v>35.0</v>
      </c>
      <c r="D37" s="68">
        <v>5.0</v>
      </c>
      <c r="E37" s="68">
        <v>5.0</v>
      </c>
      <c r="F37" s="68">
        <v>0.0</v>
      </c>
      <c r="G37" s="66">
        <v>0.08325000000000002</v>
      </c>
    </row>
    <row r="38" ht="27.75" customHeight="1">
      <c r="A38" s="57" t="s">
        <v>745</v>
      </c>
      <c r="B38" s="67">
        <v>45.0</v>
      </c>
      <c r="C38" s="67">
        <v>40.0</v>
      </c>
      <c r="D38" s="67">
        <v>5.0</v>
      </c>
      <c r="E38" s="67">
        <v>10.0</v>
      </c>
      <c r="F38" s="67">
        <v>0.0</v>
      </c>
      <c r="G38" s="64">
        <v>0.0835</v>
      </c>
    </row>
    <row r="39" ht="15.75" customHeight="1"/>
    <row r="40" ht="15.75" customHeight="1"/>
    <row r="41" ht="15.75" customHeight="1"/>
    <row r="42" ht="24.0" customHeight="1">
      <c r="A42" s="49" t="s">
        <v>795</v>
      </c>
      <c r="B42" s="2"/>
      <c r="C42" s="2"/>
      <c r="D42" s="2"/>
      <c r="E42" s="2"/>
      <c r="F42" s="2"/>
      <c r="G42" s="3"/>
    </row>
    <row r="43" ht="31.5" customHeight="1">
      <c r="A43" s="51" t="s">
        <v>733</v>
      </c>
      <c r="B43" s="51" t="s">
        <v>799</v>
      </c>
      <c r="C43" s="51" t="s">
        <v>800</v>
      </c>
      <c r="D43" s="51" t="s">
        <v>801</v>
      </c>
      <c r="E43" s="51" t="s">
        <v>802</v>
      </c>
      <c r="F43" s="51" t="s">
        <v>803</v>
      </c>
    </row>
    <row r="44" ht="45.0" customHeight="1">
      <c r="A44" s="54" t="s">
        <v>741</v>
      </c>
      <c r="B44" s="66">
        <v>0.0885</v>
      </c>
      <c r="C44" s="69">
        <v>300.0</v>
      </c>
      <c r="D44" s="69" t="s">
        <v>807</v>
      </c>
      <c r="E44" s="69">
        <v>700.4958851376409</v>
      </c>
      <c r="F44" s="69" t="s">
        <v>809</v>
      </c>
    </row>
    <row r="45" ht="51.75" customHeight="1">
      <c r="A45" s="57" t="s">
        <v>743</v>
      </c>
      <c r="B45" s="64">
        <v>0.08325</v>
      </c>
      <c r="C45" s="71">
        <v>300.0</v>
      </c>
      <c r="D45" s="71" t="s">
        <v>807</v>
      </c>
      <c r="E45" s="71">
        <v>667.4338545352468</v>
      </c>
      <c r="F45" s="71" t="s">
        <v>811</v>
      </c>
    </row>
    <row r="46" ht="51.75" customHeight="1">
      <c r="A46" s="54" t="s">
        <v>745</v>
      </c>
      <c r="B46" s="66">
        <v>0.0835</v>
      </c>
      <c r="C46" s="69">
        <v>272.62</v>
      </c>
      <c r="D46" s="54" t="s">
        <v>816</v>
      </c>
      <c r="E46" s="69">
        <v>375.7278402285943</v>
      </c>
      <c r="F46" s="54" t="s">
        <v>817</v>
      </c>
    </row>
    <row r="47" ht="15.75" customHeight="1"/>
    <row r="48" ht="15.75" customHeight="1"/>
    <row r="49" ht="15.75" customHeight="1"/>
    <row r="50" ht="37.5" customHeight="1">
      <c r="A50" s="49" t="s">
        <v>818</v>
      </c>
      <c r="B50" s="2"/>
      <c r="C50" s="2"/>
      <c r="D50" s="2"/>
      <c r="E50" s="2"/>
      <c r="F50" s="2"/>
      <c r="G50" s="3"/>
    </row>
    <row r="51" ht="31.5" customHeight="1">
      <c r="A51" s="51" t="s">
        <v>63</v>
      </c>
      <c r="B51" s="51" t="s">
        <v>831</v>
      </c>
      <c r="C51" s="51" t="s">
        <v>832</v>
      </c>
      <c r="D51" s="51" t="s">
        <v>133</v>
      </c>
    </row>
    <row r="52" ht="37.5" customHeight="1">
      <c r="A52" s="54" t="s">
        <v>834</v>
      </c>
      <c r="B52" s="54" t="s">
        <v>835</v>
      </c>
      <c r="C52" s="54" t="s">
        <v>837</v>
      </c>
      <c r="D52" s="54" t="s">
        <v>839</v>
      </c>
    </row>
    <row r="53" ht="37.5" customHeight="1">
      <c r="A53" s="57" t="s">
        <v>842</v>
      </c>
      <c r="B53" s="57" t="s">
        <v>844</v>
      </c>
      <c r="C53" s="57" t="s">
        <v>845</v>
      </c>
      <c r="D53" s="57" t="s">
        <v>847</v>
      </c>
    </row>
    <row r="54" ht="51.75" customHeight="1">
      <c r="A54" s="54" t="s">
        <v>851</v>
      </c>
      <c r="B54" s="54" t="s">
        <v>852</v>
      </c>
      <c r="C54" s="54" t="s">
        <v>854</v>
      </c>
      <c r="D54" s="54" t="s">
        <v>857</v>
      </c>
    </row>
    <row r="55" ht="37.5" customHeight="1">
      <c r="A55" s="57" t="s">
        <v>860</v>
      </c>
      <c r="B55" s="57" t="s">
        <v>862</v>
      </c>
      <c r="C55" s="57" t="s">
        <v>865</v>
      </c>
      <c r="D55" s="57" t="s">
        <v>867</v>
      </c>
    </row>
    <row r="56" ht="37.5" customHeight="1">
      <c r="A56" s="72" t="s">
        <v>872</v>
      </c>
      <c r="C56" s="73" t="s">
        <v>876</v>
      </c>
      <c r="D56" s="2"/>
      <c r="E56" s="2"/>
      <c r="F56" s="3"/>
      <c r="G56" s="74" t="s">
        <v>882</v>
      </c>
    </row>
    <row r="57" ht="15.75" customHeight="1"/>
    <row r="58" ht="24.0" customHeight="1">
      <c r="A58" s="49" t="s">
        <v>887</v>
      </c>
      <c r="B58" s="2"/>
      <c r="C58" s="2"/>
      <c r="D58" s="2"/>
      <c r="E58" s="2"/>
      <c r="F58" s="2"/>
      <c r="G58" s="3"/>
    </row>
    <row r="59" ht="31.5" customHeight="1">
      <c r="A59" s="51" t="s">
        <v>896</v>
      </c>
      <c r="B59" s="51" t="s">
        <v>898</v>
      </c>
      <c r="C59" s="51" t="s">
        <v>899</v>
      </c>
      <c r="D59" s="51" t="s">
        <v>900</v>
      </c>
      <c r="E59" s="51" t="s">
        <v>901</v>
      </c>
      <c r="F59" s="51" t="s">
        <v>903</v>
      </c>
      <c r="G59" s="51" t="s">
        <v>875</v>
      </c>
    </row>
    <row r="60" ht="27.75" customHeight="1">
      <c r="A60" s="54" t="s">
        <v>708</v>
      </c>
      <c r="B60" s="65">
        <v>213.24</v>
      </c>
      <c r="C60" s="66">
        <v>0.7108</v>
      </c>
      <c r="D60" s="65">
        <v>135.0</v>
      </c>
      <c r="E60" s="66">
        <v>0.45</v>
      </c>
      <c r="F60" s="65">
        <v>-78.23999999999998</v>
      </c>
      <c r="G60" s="54" t="s">
        <v>910</v>
      </c>
    </row>
    <row r="61" ht="27.75" customHeight="1">
      <c r="A61" s="57" t="s">
        <v>430</v>
      </c>
      <c r="B61" s="63">
        <v>38.09</v>
      </c>
      <c r="C61" s="64">
        <v>0.1269666666666666</v>
      </c>
      <c r="D61" s="63">
        <v>120.0</v>
      </c>
      <c r="E61" s="64">
        <v>0.4</v>
      </c>
      <c r="F61" s="63">
        <v>81.91</v>
      </c>
      <c r="G61" s="57" t="s">
        <v>914</v>
      </c>
    </row>
    <row r="62" ht="27.75" customHeight="1">
      <c r="A62" s="54" t="s">
        <v>544</v>
      </c>
      <c r="B62" s="65">
        <v>10.58</v>
      </c>
      <c r="C62" s="66">
        <v>0.03526666666666667</v>
      </c>
      <c r="D62" s="65">
        <v>15.0</v>
      </c>
      <c r="E62" s="66">
        <v>0.05</v>
      </c>
      <c r="F62" s="65">
        <v>4.42</v>
      </c>
      <c r="G62" s="54" t="s">
        <v>914</v>
      </c>
    </row>
    <row r="63" ht="27.75" customHeight="1">
      <c r="A63" s="57" t="s">
        <v>542</v>
      </c>
      <c r="B63" s="63">
        <v>22.22</v>
      </c>
      <c r="C63" s="64">
        <v>0.07406666666666667</v>
      </c>
      <c r="D63" s="63">
        <v>30.0</v>
      </c>
      <c r="E63" s="64">
        <v>0.1</v>
      </c>
      <c r="F63" s="63">
        <v>7.780000000000001</v>
      </c>
      <c r="G63" s="57" t="s">
        <v>914</v>
      </c>
    </row>
    <row r="64" ht="27.75" customHeight="1">
      <c r="A64" s="54" t="s">
        <v>295</v>
      </c>
      <c r="B64" s="65">
        <v>15.87</v>
      </c>
      <c r="C64" s="66">
        <v>0.0529</v>
      </c>
      <c r="D64" s="65">
        <v>0.0</v>
      </c>
      <c r="E64" s="66">
        <v>0.0</v>
      </c>
      <c r="F64" s="65">
        <v>-15.87</v>
      </c>
      <c r="G64" s="54" t="s">
        <v>910</v>
      </c>
    </row>
    <row r="65" ht="15.75" customHeight="1"/>
    <row r="66" ht="15.75" customHeight="1"/>
    <row r="67" ht="37.5" customHeight="1">
      <c r="A67" s="49" t="s">
        <v>925</v>
      </c>
      <c r="B67" s="2"/>
      <c r="C67" s="2"/>
      <c r="D67" s="2"/>
      <c r="E67" s="2"/>
      <c r="F67" s="2"/>
      <c r="G67" s="3"/>
    </row>
    <row r="68" ht="31.5" customHeight="1">
      <c r="A68" s="51" t="s">
        <v>32</v>
      </c>
      <c r="B68" s="51" t="s">
        <v>875</v>
      </c>
      <c r="C68" s="51" t="s">
        <v>932</v>
      </c>
      <c r="D68" s="51" t="s">
        <v>933</v>
      </c>
    </row>
    <row r="69" ht="37.5" customHeight="1">
      <c r="A69" s="57" t="s">
        <v>34</v>
      </c>
      <c r="B69" s="57" t="s">
        <v>863</v>
      </c>
      <c r="C69" s="57" t="s">
        <v>938</v>
      </c>
      <c r="D69" s="57" t="s">
        <v>940</v>
      </c>
    </row>
    <row r="70" ht="51.75" customHeight="1">
      <c r="A70" s="54" t="s">
        <v>37</v>
      </c>
      <c r="B70" s="54" t="s">
        <v>944</v>
      </c>
      <c r="C70" s="54" t="s">
        <v>946</v>
      </c>
      <c r="D70" s="54" t="s">
        <v>949</v>
      </c>
    </row>
    <row r="71" ht="37.5" customHeight="1">
      <c r="A71" s="57" t="s">
        <v>40</v>
      </c>
      <c r="B71" s="57" t="s">
        <v>952</v>
      </c>
      <c r="C71" s="57" t="s">
        <v>955</v>
      </c>
      <c r="D71" s="57" t="s">
        <v>957</v>
      </c>
    </row>
    <row r="72" ht="27.75" customHeight="1">
      <c r="A72" s="54" t="s">
        <v>43</v>
      </c>
      <c r="B72" s="54" t="s">
        <v>959</v>
      </c>
      <c r="C72" s="54" t="s">
        <v>960</v>
      </c>
      <c r="D72" s="54" t="s">
        <v>962</v>
      </c>
    </row>
    <row r="73" ht="37.5" customHeight="1">
      <c r="A73" s="57" t="s">
        <v>46</v>
      </c>
      <c r="B73" s="57" t="s">
        <v>963</v>
      </c>
      <c r="C73" s="57" t="s">
        <v>964</v>
      </c>
      <c r="D73" s="57" t="s">
        <v>966</v>
      </c>
    </row>
    <row r="74" ht="37.5" customHeight="1">
      <c r="A74" s="54" t="s">
        <v>890</v>
      </c>
      <c r="B74" s="54" t="s">
        <v>968</v>
      </c>
      <c r="C74" s="54" t="s">
        <v>969</v>
      </c>
      <c r="D74" s="54" t="s">
        <v>970</v>
      </c>
    </row>
    <row r="75" ht="15.75" customHeight="1"/>
    <row r="76" ht="15.75" customHeight="1"/>
    <row r="77" ht="24.0" customHeight="1">
      <c r="A77" s="49" t="s">
        <v>971</v>
      </c>
      <c r="B77" s="2"/>
      <c r="C77" s="2"/>
      <c r="D77" s="2"/>
      <c r="E77" s="2"/>
      <c r="F77" s="2"/>
      <c r="G77" s="3"/>
    </row>
    <row r="78" ht="31.5" customHeight="1">
      <c r="A78" s="51" t="s">
        <v>85</v>
      </c>
      <c r="B78" s="51" t="s">
        <v>974</v>
      </c>
      <c r="C78" s="51" t="s">
        <v>975</v>
      </c>
      <c r="D78" s="51" t="s">
        <v>976</v>
      </c>
    </row>
    <row r="79" ht="37.5" customHeight="1">
      <c r="A79" s="57" t="s">
        <v>978</v>
      </c>
      <c r="B79" s="57" t="s">
        <v>979</v>
      </c>
      <c r="C79" s="57" t="s">
        <v>980</v>
      </c>
      <c r="D79" s="57" t="s">
        <v>981</v>
      </c>
    </row>
    <row r="80" ht="37.5" customHeight="1">
      <c r="A80" s="54" t="s">
        <v>743</v>
      </c>
      <c r="B80" s="54" t="s">
        <v>983</v>
      </c>
      <c r="C80" s="54" t="s">
        <v>984</v>
      </c>
      <c r="D80" s="54" t="s">
        <v>985</v>
      </c>
    </row>
    <row r="81" ht="51.75" customHeight="1">
      <c r="A81" s="57" t="s">
        <v>861</v>
      </c>
      <c r="B81" s="57" t="s">
        <v>987</v>
      </c>
      <c r="C81" s="57" t="s">
        <v>988</v>
      </c>
      <c r="D81" s="57" t="s">
        <v>990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2">
    <mergeCell ref="A50:G50"/>
    <mergeCell ref="C56:F56"/>
    <mergeCell ref="A58:G58"/>
    <mergeCell ref="A67:G67"/>
    <mergeCell ref="A77:G77"/>
    <mergeCell ref="A1:G1"/>
    <mergeCell ref="A3:G3"/>
    <mergeCell ref="A10:G10"/>
    <mergeCell ref="A19:G19"/>
    <mergeCell ref="A26:G26"/>
    <mergeCell ref="A34:G34"/>
    <mergeCell ref="A42:G42"/>
  </mergeCells>
  <printOptions/>
  <pageMargins bottom="0.4" footer="0.0" header="0.0" left="0.25" right="0.25" top="0.4"/>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sheetViews>
  <sheetFormatPr customHeight="1" defaultColWidth="14.43" defaultRowHeight="15.0"/>
  <cols>
    <col customWidth="1" min="1" max="1" width="24.0"/>
    <col customWidth="1" min="2" max="2" width="42.0"/>
    <col customWidth="1" min="3" max="3" width="105.0"/>
    <col customWidth="1" min="4" max="5" width="48.0"/>
    <col customWidth="1" min="6" max="6" width="30.0"/>
    <col customWidth="1" min="7" max="7" width="42.0"/>
    <col customWidth="1" min="8" max="8" width="24.0"/>
    <col customWidth="1" min="9" max="26" width="8.71"/>
  </cols>
  <sheetData>
    <row r="1" ht="33.75" customHeight="1">
      <c r="A1" s="41" t="s">
        <v>798</v>
      </c>
      <c r="B1" s="2"/>
      <c r="C1" s="2"/>
      <c r="D1" s="2"/>
      <c r="E1" s="2"/>
      <c r="F1" s="2"/>
      <c r="G1" s="2"/>
      <c r="H1" s="3"/>
    </row>
    <row r="2" ht="51.75" customHeight="1">
      <c r="A2" s="44" t="s">
        <v>804</v>
      </c>
    </row>
    <row r="3" ht="51.75" customHeight="1">
      <c r="A3" s="70" t="s">
        <v>805</v>
      </c>
      <c r="B3" s="2"/>
      <c r="C3" s="2"/>
      <c r="D3" s="2"/>
      <c r="E3" s="2"/>
      <c r="F3" s="2"/>
      <c r="G3" s="2"/>
      <c r="H3" s="3"/>
    </row>
    <row r="5" ht="24.0" customHeight="1">
      <c r="A5" s="49" t="s">
        <v>812</v>
      </c>
      <c r="B5" s="2"/>
      <c r="C5" s="2"/>
      <c r="D5" s="2"/>
      <c r="E5" s="2"/>
      <c r="F5" s="2"/>
      <c r="G5" s="2"/>
      <c r="H5" s="3"/>
    </row>
    <row r="6" ht="31.5" customHeight="1">
      <c r="A6" s="51" t="s">
        <v>562</v>
      </c>
      <c r="B6" s="51" t="s">
        <v>458</v>
      </c>
      <c r="C6" s="51" t="s">
        <v>819</v>
      </c>
    </row>
    <row r="7" ht="51.75" customHeight="1">
      <c r="A7" s="54" t="s">
        <v>820</v>
      </c>
      <c r="B7" s="54" t="s">
        <v>821</v>
      </c>
      <c r="C7" s="54" t="s">
        <v>822</v>
      </c>
    </row>
    <row r="8" ht="51.75" customHeight="1">
      <c r="A8" s="57" t="s">
        <v>823</v>
      </c>
      <c r="B8" s="57" t="s">
        <v>824</v>
      </c>
      <c r="C8" s="57" t="s">
        <v>825</v>
      </c>
    </row>
    <row r="9" ht="51.75" customHeight="1">
      <c r="A9" s="54" t="s">
        <v>826</v>
      </c>
      <c r="B9" s="54" t="s">
        <v>827</v>
      </c>
      <c r="C9" s="54" t="s">
        <v>828</v>
      </c>
    </row>
    <row r="11" ht="24.0" customHeight="1">
      <c r="A11" s="49" t="s">
        <v>830</v>
      </c>
      <c r="B11" s="2"/>
      <c r="C11" s="2"/>
      <c r="D11" s="2"/>
      <c r="E11" s="2"/>
      <c r="F11" s="2"/>
      <c r="G11" s="2"/>
      <c r="H11" s="3"/>
    </row>
    <row r="12" ht="31.5" customHeight="1">
      <c r="A12" s="51" t="s">
        <v>85</v>
      </c>
      <c r="B12" s="51" t="s">
        <v>838</v>
      </c>
      <c r="C12" s="51" t="s">
        <v>840</v>
      </c>
      <c r="D12" s="51" t="s">
        <v>841</v>
      </c>
      <c r="E12" s="51" t="s">
        <v>843</v>
      </c>
    </row>
    <row r="13" ht="27.75" customHeight="1">
      <c r="A13" s="54" t="s">
        <v>741</v>
      </c>
      <c r="B13" s="54" t="s">
        <v>846</v>
      </c>
      <c r="C13" s="54" t="s">
        <v>848</v>
      </c>
      <c r="D13" s="54" t="s">
        <v>849</v>
      </c>
      <c r="E13" s="54" t="s">
        <v>850</v>
      </c>
    </row>
    <row r="14" ht="27.75" customHeight="1">
      <c r="A14" s="57" t="s">
        <v>853</v>
      </c>
      <c r="B14" s="57" t="s">
        <v>855</v>
      </c>
      <c r="C14" s="57" t="s">
        <v>856</v>
      </c>
      <c r="D14" s="57" t="s">
        <v>858</v>
      </c>
      <c r="E14" s="57" t="s">
        <v>859</v>
      </c>
    </row>
    <row r="15" ht="37.5" customHeight="1">
      <c r="A15" s="54" t="s">
        <v>861</v>
      </c>
      <c r="B15" s="54" t="s">
        <v>863</v>
      </c>
      <c r="C15" s="54" t="s">
        <v>864</v>
      </c>
      <c r="D15" s="54" t="s">
        <v>866</v>
      </c>
      <c r="E15" s="54" t="s">
        <v>868</v>
      </c>
    </row>
    <row r="18" ht="24.0" customHeight="1">
      <c r="A18" s="49" t="s">
        <v>871</v>
      </c>
      <c r="B18" s="2"/>
      <c r="C18" s="2"/>
      <c r="D18" s="2"/>
      <c r="E18" s="2"/>
      <c r="F18" s="2"/>
      <c r="G18" s="2"/>
      <c r="H18" s="3"/>
    </row>
    <row r="19" ht="31.5" customHeight="1">
      <c r="A19" s="51" t="s">
        <v>32</v>
      </c>
      <c r="B19" s="51" t="s">
        <v>875</v>
      </c>
      <c r="C19" s="51" t="s">
        <v>740</v>
      </c>
    </row>
    <row r="20" ht="37.5" customHeight="1">
      <c r="A20" s="57" t="s">
        <v>34</v>
      </c>
      <c r="B20" s="57" t="s">
        <v>877</v>
      </c>
      <c r="C20" s="57" t="s">
        <v>878</v>
      </c>
    </row>
    <row r="21" ht="51.75" customHeight="1">
      <c r="A21" s="54" t="s">
        <v>37</v>
      </c>
      <c r="B21" s="54" t="s">
        <v>879</v>
      </c>
      <c r="C21" s="54" t="s">
        <v>880</v>
      </c>
    </row>
    <row r="22" ht="51.75" customHeight="1">
      <c r="A22" s="57" t="s">
        <v>40</v>
      </c>
      <c r="B22" s="57" t="s">
        <v>881</v>
      </c>
      <c r="C22" s="57" t="s">
        <v>883</v>
      </c>
    </row>
    <row r="23" ht="37.5" customHeight="1">
      <c r="A23" s="54" t="s">
        <v>43</v>
      </c>
      <c r="B23" s="54" t="s">
        <v>885</v>
      </c>
      <c r="C23" s="54" t="s">
        <v>886</v>
      </c>
    </row>
    <row r="24" ht="37.5" customHeight="1">
      <c r="A24" s="57" t="s">
        <v>46</v>
      </c>
      <c r="B24" s="57" t="s">
        <v>888</v>
      </c>
      <c r="C24" s="57" t="s">
        <v>889</v>
      </c>
    </row>
    <row r="25" ht="37.5" customHeight="1">
      <c r="A25" s="54" t="s">
        <v>890</v>
      </c>
      <c r="B25" s="54" t="s">
        <v>892</v>
      </c>
      <c r="C25" s="54" t="s">
        <v>893</v>
      </c>
    </row>
    <row r="26" ht="15.75" customHeight="1"/>
    <row r="27" ht="32.25" customHeight="1">
      <c r="A27" s="75" t="s">
        <v>894</v>
      </c>
      <c r="B27" s="3"/>
      <c r="C27" s="76" t="s">
        <v>902</v>
      </c>
      <c r="D27" s="2"/>
      <c r="E27" s="2"/>
      <c r="F27" s="2"/>
      <c r="G27" s="2"/>
      <c r="H27" s="3"/>
    </row>
    <row r="28" ht="15.75" customHeight="1"/>
    <row r="29" ht="15.75" customHeight="1"/>
    <row r="30" ht="30.0" customHeight="1">
      <c r="A30" s="77" t="s">
        <v>908</v>
      </c>
    </row>
    <row r="31" ht="30.0" customHeight="1">
      <c r="A31" s="78" t="s">
        <v>913</v>
      </c>
    </row>
    <row r="32" ht="15.75" customHeight="1"/>
    <row r="33" ht="15.75" customHeight="1">
      <c r="A33" s="79" t="s">
        <v>896</v>
      </c>
      <c r="B33" s="79" t="s">
        <v>898</v>
      </c>
      <c r="C33" s="79" t="s">
        <v>899</v>
      </c>
      <c r="D33" s="79" t="s">
        <v>901</v>
      </c>
      <c r="E33" s="79" t="s">
        <v>900</v>
      </c>
      <c r="F33" s="79" t="s">
        <v>903</v>
      </c>
      <c r="G33" s="79" t="s">
        <v>740</v>
      </c>
      <c r="H33" s="79" t="s">
        <v>917</v>
      </c>
    </row>
    <row r="34" ht="37.5" customHeight="1">
      <c r="A34" s="78" t="s">
        <v>540</v>
      </c>
      <c r="B34" s="78">
        <v>252.74</v>
      </c>
      <c r="C34" s="78">
        <v>0.707955182072829</v>
      </c>
      <c r="D34" s="78">
        <v>0.7</v>
      </c>
      <c r="E34" s="78">
        <v>249.9</v>
      </c>
      <c r="F34" s="78">
        <v>-2.84</v>
      </c>
      <c r="G34" s="78" t="s">
        <v>922</v>
      </c>
      <c r="H34" s="78" t="s">
        <v>924</v>
      </c>
    </row>
    <row r="35" ht="15.75" customHeight="1">
      <c r="A35" s="78" t="s">
        <v>430</v>
      </c>
      <c r="B35" s="78">
        <v>46.16</v>
      </c>
      <c r="C35" s="78">
        <v>0.1292997198879552</v>
      </c>
      <c r="D35" s="78">
        <v>0.2</v>
      </c>
      <c r="E35" s="78">
        <v>71.4</v>
      </c>
      <c r="F35" s="78">
        <v>25.24</v>
      </c>
      <c r="G35" s="78" t="s">
        <v>926</v>
      </c>
      <c r="H35" s="78" t="s">
        <v>927</v>
      </c>
    </row>
    <row r="36" ht="15.75" customHeight="1">
      <c r="A36" s="78" t="s">
        <v>544</v>
      </c>
      <c r="B36" s="78">
        <v>12.23</v>
      </c>
      <c r="C36" s="78">
        <v>0.03425770308123249</v>
      </c>
      <c r="D36" s="78">
        <v>0.05</v>
      </c>
      <c r="E36" s="78">
        <v>17.85</v>
      </c>
      <c r="F36" s="78">
        <v>5.62</v>
      </c>
      <c r="G36" s="78" t="s">
        <v>928</v>
      </c>
      <c r="H36" s="78" t="s">
        <v>929</v>
      </c>
    </row>
    <row r="37" ht="37.5" customHeight="1">
      <c r="A37" s="78" t="s">
        <v>542</v>
      </c>
      <c r="B37" s="78">
        <v>27.24</v>
      </c>
      <c r="C37" s="78">
        <v>0.07630252100840337</v>
      </c>
      <c r="D37" s="78">
        <v>0.05</v>
      </c>
      <c r="E37" s="78">
        <v>17.85</v>
      </c>
      <c r="F37" s="78">
        <v>-9.39</v>
      </c>
      <c r="G37" s="78" t="s">
        <v>930</v>
      </c>
      <c r="H37" s="78" t="s">
        <v>931</v>
      </c>
    </row>
    <row r="38" ht="15.75" customHeight="1">
      <c r="A38" s="78" t="s">
        <v>295</v>
      </c>
      <c r="B38" s="78">
        <v>18.63</v>
      </c>
      <c r="C38" s="78">
        <v>0.05218487394957983</v>
      </c>
      <c r="D38" s="78">
        <v>0.0</v>
      </c>
      <c r="E38" s="78">
        <v>0.0</v>
      </c>
      <c r="F38" s="78">
        <v>-18.63</v>
      </c>
      <c r="G38" s="78" t="s">
        <v>934</v>
      </c>
      <c r="H38" s="78" t="s">
        <v>935</v>
      </c>
    </row>
    <row r="39" ht="69.75" customHeight="1">
      <c r="A39" s="78" t="s">
        <v>936</v>
      </c>
    </row>
    <row r="40" ht="15.75" customHeight="1"/>
    <row r="41" ht="15.75" customHeight="1">
      <c r="A41" s="79" t="s">
        <v>937</v>
      </c>
      <c r="B41" s="79" t="s">
        <v>939</v>
      </c>
      <c r="C41" s="79" t="s">
        <v>941</v>
      </c>
      <c r="D41" s="79" t="s">
        <v>942</v>
      </c>
      <c r="E41" s="79" t="s">
        <v>803</v>
      </c>
    </row>
    <row r="42" ht="15.75" customHeight="1">
      <c r="A42" s="78" t="s">
        <v>943</v>
      </c>
      <c r="B42" s="78" t="s">
        <v>945</v>
      </c>
      <c r="C42" s="78" t="s">
        <v>947</v>
      </c>
      <c r="D42" s="78" t="s">
        <v>948</v>
      </c>
      <c r="E42" s="78" t="s">
        <v>950</v>
      </c>
    </row>
    <row r="43" ht="15.75" customHeight="1">
      <c r="A43" s="78" t="s">
        <v>951</v>
      </c>
      <c r="B43" s="78" t="s">
        <v>953</v>
      </c>
      <c r="C43" s="78" t="s">
        <v>954</v>
      </c>
      <c r="D43" s="78" t="s">
        <v>956</v>
      </c>
      <c r="E43" s="78" t="s">
        <v>958</v>
      </c>
    </row>
    <row r="44" ht="15.75" customHeight="1"/>
    <row r="45" ht="30.0" customHeight="1">
      <c r="A45" s="83" t="s">
        <v>961</v>
      </c>
    </row>
    <row r="46" ht="69.75" customHeight="1">
      <c r="A46" s="78" t="s">
        <v>965</v>
      </c>
    </row>
    <row r="47" ht="15.75" customHeight="1"/>
    <row r="48" ht="15.75" customHeight="1">
      <c r="A48" s="79" t="s">
        <v>896</v>
      </c>
      <c r="B48" s="79" t="s">
        <v>898</v>
      </c>
      <c r="C48" s="79" t="s">
        <v>899</v>
      </c>
      <c r="D48" s="79" t="s">
        <v>901</v>
      </c>
      <c r="E48" s="79" t="s">
        <v>900</v>
      </c>
      <c r="F48" s="79" t="s">
        <v>903</v>
      </c>
      <c r="G48" s="79" t="s">
        <v>740</v>
      </c>
      <c r="H48" s="79" t="s">
        <v>917</v>
      </c>
    </row>
    <row r="49" ht="15.75" customHeight="1">
      <c r="A49" s="78" t="s">
        <v>540</v>
      </c>
      <c r="B49" s="78">
        <v>252.74</v>
      </c>
      <c r="C49" s="78">
        <v>0.707955182072829</v>
      </c>
      <c r="D49" s="78">
        <v>0.55</v>
      </c>
      <c r="E49" s="78">
        <v>196.35</v>
      </c>
      <c r="F49" s="78">
        <v>-56.39</v>
      </c>
      <c r="G49" s="78" t="s">
        <v>972</v>
      </c>
      <c r="H49" s="78" t="s">
        <v>924</v>
      </c>
    </row>
    <row r="50" ht="15.75" customHeight="1">
      <c r="A50" s="78" t="s">
        <v>430</v>
      </c>
      <c r="B50" s="78">
        <v>46.16</v>
      </c>
      <c r="C50" s="78">
        <v>0.1292997198879552</v>
      </c>
      <c r="D50" s="78">
        <v>0.35</v>
      </c>
      <c r="E50" s="78">
        <v>124.95</v>
      </c>
      <c r="F50" s="78">
        <v>78.79</v>
      </c>
      <c r="G50" s="78" t="s">
        <v>973</v>
      </c>
      <c r="H50" s="78" t="s">
        <v>927</v>
      </c>
    </row>
    <row r="51" ht="15.75" customHeight="1">
      <c r="A51" s="78" t="s">
        <v>544</v>
      </c>
      <c r="B51" s="78">
        <v>12.23</v>
      </c>
      <c r="C51" s="78">
        <v>0.03425770308123249</v>
      </c>
      <c r="D51" s="78">
        <v>0.05</v>
      </c>
      <c r="E51" s="78">
        <v>17.85</v>
      </c>
      <c r="F51" s="78">
        <v>5.62</v>
      </c>
      <c r="G51" s="78" t="s">
        <v>977</v>
      </c>
      <c r="H51" s="78" t="s">
        <v>929</v>
      </c>
    </row>
    <row r="52" ht="15.75" customHeight="1">
      <c r="A52" s="78" t="s">
        <v>542</v>
      </c>
      <c r="B52" s="78">
        <v>27.24</v>
      </c>
      <c r="C52" s="78">
        <v>0.07630252100840337</v>
      </c>
      <c r="D52" s="78">
        <v>0.05</v>
      </c>
      <c r="E52" s="78">
        <v>17.85</v>
      </c>
      <c r="F52" s="78">
        <v>-9.39</v>
      </c>
      <c r="G52" s="78" t="s">
        <v>982</v>
      </c>
      <c r="H52" s="78" t="s">
        <v>931</v>
      </c>
    </row>
    <row r="53" ht="15.75" customHeight="1">
      <c r="A53" s="78" t="s">
        <v>295</v>
      </c>
      <c r="B53" s="78">
        <v>18.63</v>
      </c>
      <c r="C53" s="78">
        <v>0.05218487394957983</v>
      </c>
      <c r="D53" s="78">
        <v>0.0</v>
      </c>
      <c r="E53" s="78">
        <v>0.0</v>
      </c>
      <c r="F53" s="78">
        <v>-18.63</v>
      </c>
      <c r="G53" s="78" t="s">
        <v>986</v>
      </c>
      <c r="H53" s="78" t="s">
        <v>935</v>
      </c>
    </row>
    <row r="54" ht="69.75" customHeight="1">
      <c r="A54" s="78" t="s">
        <v>989</v>
      </c>
    </row>
    <row r="55" ht="15.75" customHeight="1"/>
    <row r="56" ht="15.75" customHeight="1">
      <c r="A56" s="79" t="s">
        <v>937</v>
      </c>
      <c r="B56" s="79" t="s">
        <v>939</v>
      </c>
      <c r="C56" s="79" t="s">
        <v>941</v>
      </c>
      <c r="D56" s="79" t="s">
        <v>942</v>
      </c>
      <c r="E56" s="79" t="s">
        <v>803</v>
      </c>
    </row>
    <row r="57" ht="15.75" customHeight="1">
      <c r="A57" s="78" t="s">
        <v>943</v>
      </c>
      <c r="B57" s="78" t="s">
        <v>945</v>
      </c>
      <c r="C57" s="78" t="s">
        <v>991</v>
      </c>
      <c r="D57" s="78" t="s">
        <v>992</v>
      </c>
      <c r="E57" s="78" t="s">
        <v>994</v>
      </c>
    </row>
    <row r="58" ht="15.75" customHeight="1">
      <c r="A58" s="78" t="s">
        <v>995</v>
      </c>
      <c r="B58" s="78" t="s">
        <v>996</v>
      </c>
      <c r="C58" s="78" t="s">
        <v>997</v>
      </c>
      <c r="D58" s="78" t="s">
        <v>998</v>
      </c>
      <c r="E58" s="78" t="s">
        <v>999</v>
      </c>
    </row>
    <row r="59" ht="15.75" customHeight="1"/>
    <row r="60" ht="37.5" customHeight="1">
      <c r="A60" s="85" t="s">
        <v>1000</v>
      </c>
    </row>
    <row r="61" ht="54.75" customHeight="1">
      <c r="A61" s="78" t="s">
        <v>1002</v>
      </c>
    </row>
    <row r="62" ht="15.75" customHeight="1"/>
    <row r="63" ht="15.75" customHeight="1">
      <c r="A63" s="79" t="s">
        <v>896</v>
      </c>
      <c r="B63" s="79" t="s">
        <v>898</v>
      </c>
      <c r="C63" s="79" t="s">
        <v>899</v>
      </c>
      <c r="D63" s="79" t="s">
        <v>901</v>
      </c>
      <c r="E63" s="79" t="s">
        <v>900</v>
      </c>
      <c r="F63" s="79" t="s">
        <v>903</v>
      </c>
      <c r="G63" s="79" t="s">
        <v>740</v>
      </c>
      <c r="H63" s="79" t="s">
        <v>917</v>
      </c>
    </row>
    <row r="64" ht="37.5" customHeight="1">
      <c r="A64" s="78" t="s">
        <v>540</v>
      </c>
      <c r="B64" s="78">
        <v>252.74</v>
      </c>
      <c r="C64" s="78">
        <v>0.707955182072829</v>
      </c>
      <c r="D64" s="78">
        <v>0.45</v>
      </c>
      <c r="E64" s="78">
        <v>160.65</v>
      </c>
      <c r="F64" s="78">
        <v>-92.09</v>
      </c>
      <c r="G64" s="78" t="s">
        <v>1004</v>
      </c>
      <c r="H64" s="78" t="s">
        <v>924</v>
      </c>
    </row>
    <row r="65" ht="15.75" customHeight="1">
      <c r="A65" s="78" t="s">
        <v>430</v>
      </c>
      <c r="B65" s="78">
        <v>46.16</v>
      </c>
      <c r="C65" s="78">
        <v>0.1292997198879552</v>
      </c>
      <c r="D65" s="78">
        <v>0.4</v>
      </c>
      <c r="E65" s="78">
        <v>142.8</v>
      </c>
      <c r="F65" s="78">
        <v>96.64</v>
      </c>
      <c r="G65" s="78" t="s">
        <v>1005</v>
      </c>
      <c r="H65" s="78" t="s">
        <v>927</v>
      </c>
    </row>
    <row r="66" ht="15.75" customHeight="1">
      <c r="A66" s="78" t="s">
        <v>544</v>
      </c>
      <c r="B66" s="78">
        <v>12.23</v>
      </c>
      <c r="C66" s="78">
        <v>0.03425770308123249</v>
      </c>
      <c r="D66" s="78">
        <v>0.05</v>
      </c>
      <c r="E66" s="78">
        <v>17.85</v>
      </c>
      <c r="F66" s="78">
        <v>5.62</v>
      </c>
      <c r="G66" s="78" t="s">
        <v>1007</v>
      </c>
      <c r="H66" s="78" t="s">
        <v>929</v>
      </c>
    </row>
    <row r="67" ht="37.5" customHeight="1">
      <c r="A67" s="78" t="s">
        <v>542</v>
      </c>
      <c r="B67" s="78">
        <v>27.24</v>
      </c>
      <c r="C67" s="78">
        <v>0.07630252100840337</v>
      </c>
      <c r="D67" s="78">
        <v>0.1</v>
      </c>
      <c r="E67" s="78">
        <v>35.7</v>
      </c>
      <c r="F67" s="78">
        <v>8.46</v>
      </c>
      <c r="G67" s="78" t="s">
        <v>1009</v>
      </c>
      <c r="H67" s="78" t="s">
        <v>931</v>
      </c>
    </row>
    <row r="68" ht="15.75" customHeight="1">
      <c r="A68" s="78" t="s">
        <v>295</v>
      </c>
      <c r="B68" s="78">
        <v>18.63</v>
      </c>
      <c r="C68" s="78">
        <v>0.05218487394957983</v>
      </c>
      <c r="D68" s="78">
        <v>0.0</v>
      </c>
      <c r="E68" s="78">
        <v>0.0</v>
      </c>
      <c r="F68" s="78">
        <v>-18.63</v>
      </c>
      <c r="G68" s="78" t="s">
        <v>1011</v>
      </c>
      <c r="H68" s="78" t="s">
        <v>935</v>
      </c>
    </row>
    <row r="69" ht="90.0" customHeight="1">
      <c r="A69" s="78" t="s">
        <v>1013</v>
      </c>
    </row>
    <row r="70" ht="15.75" customHeight="1"/>
    <row r="71" ht="15.75" customHeight="1">
      <c r="A71" s="79" t="s">
        <v>937</v>
      </c>
      <c r="B71" s="79" t="s">
        <v>939</v>
      </c>
      <c r="C71" s="79" t="s">
        <v>941</v>
      </c>
      <c r="D71" s="79" t="s">
        <v>942</v>
      </c>
      <c r="E71" s="79" t="s">
        <v>803</v>
      </c>
    </row>
    <row r="72" ht="15.75" customHeight="1">
      <c r="A72" s="78" t="s">
        <v>834</v>
      </c>
      <c r="B72" s="78" t="s">
        <v>835</v>
      </c>
      <c r="C72" s="78" t="s">
        <v>835</v>
      </c>
      <c r="D72" s="78" t="s">
        <v>1016</v>
      </c>
      <c r="E72" s="78" t="s">
        <v>1017</v>
      </c>
    </row>
    <row r="73" ht="15.75" customHeight="1">
      <c r="A73" s="78" t="s">
        <v>1018</v>
      </c>
      <c r="B73" s="78" t="s">
        <v>852</v>
      </c>
      <c r="C73" s="78" t="s">
        <v>852</v>
      </c>
      <c r="D73" s="78" t="s">
        <v>1020</v>
      </c>
      <c r="E73" s="78" t="s">
        <v>1021</v>
      </c>
    </row>
    <row r="74" ht="15.75" customHeight="1">
      <c r="A74" s="78" t="s">
        <v>860</v>
      </c>
      <c r="B74" s="78" t="s">
        <v>862</v>
      </c>
      <c r="C74" s="78" t="s">
        <v>862</v>
      </c>
      <c r="D74" s="78" t="s">
        <v>1023</v>
      </c>
      <c r="E74" s="78" t="s">
        <v>1024</v>
      </c>
    </row>
    <row r="75" ht="15.75" customHeight="1"/>
    <row r="76" ht="30.0" customHeight="1">
      <c r="A76" s="78" t="s">
        <v>1026</v>
      </c>
    </row>
    <row r="77" ht="15.75" customHeight="1">
      <c r="A77" s="79" t="s">
        <v>1027</v>
      </c>
      <c r="B77" s="79" t="s">
        <v>875</v>
      </c>
      <c r="C77" s="79" t="s">
        <v>1029</v>
      </c>
      <c r="D77" s="79" t="s">
        <v>458</v>
      </c>
      <c r="E77" s="79" t="s">
        <v>1030</v>
      </c>
      <c r="F77" s="79" t="s">
        <v>1031</v>
      </c>
    </row>
    <row r="78" ht="15.75" customHeight="1">
      <c r="A78" s="78" t="s">
        <v>34</v>
      </c>
      <c r="B78" s="78" t="s">
        <v>1033</v>
      </c>
      <c r="C78" s="78" t="s">
        <v>1034</v>
      </c>
      <c r="D78" s="78" t="s">
        <v>1035</v>
      </c>
      <c r="E78" s="78" t="s">
        <v>1036</v>
      </c>
      <c r="F78" s="78" t="s">
        <v>1038</v>
      </c>
    </row>
    <row r="79" ht="15.75" customHeight="1">
      <c r="A79" s="78" t="s">
        <v>37</v>
      </c>
      <c r="B79" s="78" t="s">
        <v>863</v>
      </c>
      <c r="C79" s="78" t="s">
        <v>1039</v>
      </c>
      <c r="D79" s="78" t="s">
        <v>1040</v>
      </c>
      <c r="E79" s="78" t="s">
        <v>1042</v>
      </c>
      <c r="F79" s="78" t="s">
        <v>196</v>
      </c>
    </row>
    <row r="80" ht="15.75" customHeight="1">
      <c r="A80" s="78" t="s">
        <v>40</v>
      </c>
      <c r="B80" s="78" t="s">
        <v>1043</v>
      </c>
      <c r="C80" s="78" t="s">
        <v>1045</v>
      </c>
      <c r="D80" s="78" t="s">
        <v>1046</v>
      </c>
      <c r="E80" s="78" t="s">
        <v>1047</v>
      </c>
      <c r="F80" s="78" t="s">
        <v>1048</v>
      </c>
    </row>
    <row r="81" ht="15.75" customHeight="1">
      <c r="A81" s="78" t="s">
        <v>43</v>
      </c>
      <c r="B81" s="78" t="s">
        <v>1049</v>
      </c>
      <c r="C81" s="78" t="s">
        <v>1050</v>
      </c>
      <c r="D81" s="78" t="s">
        <v>1051</v>
      </c>
      <c r="E81" s="78" t="s">
        <v>1052</v>
      </c>
      <c r="F81" s="78" t="s">
        <v>1054</v>
      </c>
    </row>
    <row r="82" ht="15.75" customHeight="1">
      <c r="A82" s="78" t="s">
        <v>46</v>
      </c>
      <c r="B82" s="78" t="s">
        <v>1055</v>
      </c>
      <c r="C82" s="78" t="s">
        <v>1056</v>
      </c>
      <c r="D82" s="78" t="s">
        <v>1057</v>
      </c>
      <c r="E82" s="78" t="s">
        <v>1059</v>
      </c>
      <c r="F82" s="78" t="s">
        <v>1054</v>
      </c>
    </row>
    <row r="83" ht="15.75" customHeight="1">
      <c r="A83" s="78" t="s">
        <v>890</v>
      </c>
      <c r="B83" s="78" t="s">
        <v>1060</v>
      </c>
      <c r="C83" s="78" t="s">
        <v>1061</v>
      </c>
      <c r="D83" s="78" t="s">
        <v>1062</v>
      </c>
      <c r="E83" s="78" t="s">
        <v>1063</v>
      </c>
      <c r="F83" s="78" t="s">
        <v>1038</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A3:H3"/>
    <mergeCell ref="A5:H5"/>
    <mergeCell ref="A11:H11"/>
    <mergeCell ref="A18:H18"/>
    <mergeCell ref="A27:B27"/>
    <mergeCell ref="A60:H60"/>
    <mergeCell ref="A61:H61"/>
    <mergeCell ref="A69:H69"/>
    <mergeCell ref="A76:H76"/>
    <mergeCell ref="C27:H27"/>
    <mergeCell ref="A30:H30"/>
    <mergeCell ref="A31:H31"/>
    <mergeCell ref="A39:H39"/>
    <mergeCell ref="A45:H45"/>
    <mergeCell ref="A46:H46"/>
    <mergeCell ref="A54:H54"/>
  </mergeCells>
  <printOptions/>
  <pageMargins bottom="0.4" footer="0.0" header="0.0" left="0.25" right="0.25" top="0.4"/>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fitToPage="1"/>
  </sheetPr>
  <sheetViews>
    <sheetView showGridLines="0" workbookViewId="0"/>
  </sheetViews>
  <sheetFormatPr customHeight="1" defaultColWidth="14.43" defaultRowHeight="15.0"/>
  <cols>
    <col customWidth="1" min="1" max="1" width="58.0"/>
    <col customWidth="1" min="2" max="2" width="42.0"/>
    <col customWidth="1" min="3" max="3" width="100.0"/>
    <col customWidth="1" min="4" max="4" width="36.0"/>
    <col customWidth="1" min="5" max="5" width="32.0"/>
    <col customWidth="1" min="6" max="6" width="26.0"/>
    <col customWidth="1" min="7" max="7" width="42.0"/>
    <col customWidth="1" min="8" max="12" width="24.0"/>
    <col customWidth="1" min="13" max="26" width="8.71"/>
  </cols>
  <sheetData>
    <row r="1" ht="33.75" customHeight="1">
      <c r="A1" s="1" t="s">
        <v>993</v>
      </c>
      <c r="B1" s="2"/>
      <c r="C1" s="2"/>
      <c r="D1" s="2"/>
      <c r="E1" s="2"/>
      <c r="F1" s="2"/>
      <c r="G1" s="2"/>
      <c r="H1" s="2"/>
      <c r="I1" s="2"/>
      <c r="J1" s="2"/>
      <c r="K1" s="2"/>
      <c r="L1" s="3"/>
    </row>
    <row r="2" ht="28.5" customHeight="1">
      <c r="A2" s="86" t="s">
        <v>1001</v>
      </c>
    </row>
    <row r="4" ht="24.0" customHeight="1">
      <c r="A4" s="18" t="s">
        <v>1003</v>
      </c>
      <c r="B4" s="2"/>
      <c r="C4" s="2"/>
      <c r="D4" s="2"/>
      <c r="E4" s="2"/>
      <c r="F4" s="2"/>
      <c r="G4" s="2"/>
      <c r="H4" s="2"/>
      <c r="I4" s="2"/>
      <c r="J4" s="2"/>
      <c r="K4" s="2"/>
      <c r="L4" s="3"/>
    </row>
    <row r="5" ht="27.75" customHeight="1">
      <c r="A5" s="7" t="s">
        <v>1006</v>
      </c>
      <c r="B5" s="7" t="s">
        <v>1008</v>
      </c>
      <c r="C5" s="7" t="s">
        <v>1010</v>
      </c>
    </row>
    <row r="6" ht="69.75" customHeight="1">
      <c r="A6" s="8" t="s">
        <v>1012</v>
      </c>
      <c r="B6" s="8" t="s">
        <v>1014</v>
      </c>
      <c r="C6" s="8" t="s">
        <v>1015</v>
      </c>
    </row>
    <row r="7" ht="51.75" customHeight="1">
      <c r="A7" s="8" t="s">
        <v>1019</v>
      </c>
      <c r="B7" s="8" t="s">
        <v>1022</v>
      </c>
      <c r="C7" s="8" t="s">
        <v>1025</v>
      </c>
    </row>
    <row r="8" ht="37.5" customHeight="1">
      <c r="A8" s="8" t="s">
        <v>1028</v>
      </c>
      <c r="B8" s="8" t="s">
        <v>1032</v>
      </c>
      <c r="C8" s="8" t="s">
        <v>1037</v>
      </c>
    </row>
    <row r="9" ht="37.5" customHeight="1">
      <c r="A9" s="8" t="s">
        <v>1041</v>
      </c>
      <c r="B9" s="8" t="s">
        <v>1044</v>
      </c>
      <c r="C9" s="8" t="s">
        <v>1053</v>
      </c>
    </row>
    <row r="10" ht="37.5" customHeight="1">
      <c r="A10" s="8" t="s">
        <v>1058</v>
      </c>
      <c r="B10" s="8" t="s">
        <v>107</v>
      </c>
      <c r="C10" s="8" t="s">
        <v>1064</v>
      </c>
    </row>
    <row r="11" ht="37.5" customHeight="1">
      <c r="A11" s="8" t="s">
        <v>1065</v>
      </c>
      <c r="B11" s="8" t="s">
        <v>1066</v>
      </c>
      <c r="C11" s="8" t="s">
        <v>1067</v>
      </c>
    </row>
    <row r="12" ht="37.5" customHeight="1">
      <c r="A12" s="8" t="s">
        <v>1068</v>
      </c>
      <c r="B12" s="8" t="s">
        <v>1069</v>
      </c>
      <c r="C12" s="8" t="s">
        <v>1070</v>
      </c>
    </row>
    <row r="14" ht="24.0" customHeight="1">
      <c r="A14" s="18" t="s">
        <v>1071</v>
      </c>
      <c r="B14" s="2"/>
      <c r="C14" s="2"/>
      <c r="D14" s="2"/>
      <c r="E14" s="2"/>
      <c r="F14" s="2"/>
      <c r="G14" s="2"/>
      <c r="H14" s="2"/>
      <c r="I14" s="2"/>
      <c r="J14" s="2"/>
      <c r="K14" s="2"/>
      <c r="L14" s="3"/>
    </row>
    <row r="15" ht="27.75" customHeight="1">
      <c r="A15" s="7" t="s">
        <v>562</v>
      </c>
      <c r="B15" s="7" t="s">
        <v>1072</v>
      </c>
    </row>
    <row r="16" ht="69.75" customHeight="1">
      <c r="A16" s="8" t="s">
        <v>475</v>
      </c>
      <c r="B16" s="8" t="s">
        <v>1073</v>
      </c>
    </row>
    <row r="17" ht="69.75" customHeight="1">
      <c r="A17" s="8" t="s">
        <v>295</v>
      </c>
      <c r="B17" s="8" t="s">
        <v>1074</v>
      </c>
    </row>
    <row r="18" ht="69.75" customHeight="1">
      <c r="A18" s="8" t="s">
        <v>498</v>
      </c>
      <c r="B18" s="8" t="s">
        <v>1075</v>
      </c>
    </row>
    <row r="20" ht="15.75" customHeight="1"/>
    <row r="21" ht="24.0" customHeight="1">
      <c r="A21" s="18" t="s">
        <v>1076</v>
      </c>
      <c r="B21" s="2"/>
      <c r="C21" s="2"/>
      <c r="D21" s="2"/>
      <c r="E21" s="2"/>
      <c r="F21" s="2"/>
      <c r="G21" s="2"/>
      <c r="H21" s="2"/>
      <c r="I21" s="2"/>
      <c r="J21" s="2"/>
      <c r="K21" s="2"/>
      <c r="L21" s="3"/>
    </row>
    <row r="22" ht="27.75" customHeight="1">
      <c r="A22" s="7" t="s">
        <v>1077</v>
      </c>
      <c r="B22" s="7" t="s">
        <v>1078</v>
      </c>
    </row>
    <row r="23" ht="51.75" customHeight="1">
      <c r="A23" s="8" t="s">
        <v>1079</v>
      </c>
      <c r="B23" s="8" t="s">
        <v>1080</v>
      </c>
    </row>
    <row r="24" ht="51.75" customHeight="1">
      <c r="A24" s="8" t="s">
        <v>1081</v>
      </c>
      <c r="B24" s="8" t="s">
        <v>1082</v>
      </c>
    </row>
    <row r="25" ht="69.75" customHeight="1">
      <c r="A25" s="8" t="s">
        <v>1083</v>
      </c>
      <c r="B25" s="8" t="s">
        <v>1084</v>
      </c>
    </row>
    <row r="26" ht="69.75" customHeight="1">
      <c r="A26" s="8" t="s">
        <v>1085</v>
      </c>
      <c r="B26" s="8" t="s">
        <v>1086</v>
      </c>
    </row>
    <row r="27" ht="15.75" customHeight="1"/>
    <row r="28" ht="15.75" customHeight="1"/>
    <row r="29" ht="24.0" customHeight="1">
      <c r="A29" s="18" t="s">
        <v>1087</v>
      </c>
      <c r="B29" s="2"/>
      <c r="C29" s="2"/>
      <c r="D29" s="2"/>
      <c r="E29" s="2"/>
      <c r="F29" s="2"/>
      <c r="G29" s="2"/>
      <c r="H29" s="2"/>
      <c r="I29" s="2"/>
      <c r="J29" s="2"/>
      <c r="K29" s="2"/>
      <c r="L29" s="3"/>
    </row>
    <row r="30" ht="27.75" customHeight="1">
      <c r="A30" s="7" t="s">
        <v>354</v>
      </c>
      <c r="B30" s="7" t="s">
        <v>302</v>
      </c>
    </row>
    <row r="31" ht="24.75" customHeight="1">
      <c r="A31" s="8" t="s">
        <v>1088</v>
      </c>
      <c r="B31" s="8" t="s">
        <v>1089</v>
      </c>
    </row>
    <row r="32" ht="24.75" customHeight="1">
      <c r="A32" s="8" t="s">
        <v>1090</v>
      </c>
      <c r="B32" s="8" t="s">
        <v>1089</v>
      </c>
    </row>
    <row r="33" ht="24.75" customHeight="1">
      <c r="A33" s="8" t="s">
        <v>1091</v>
      </c>
      <c r="B33" s="8" t="s">
        <v>1089</v>
      </c>
    </row>
    <row r="34" ht="24.75" customHeight="1">
      <c r="A34" s="8" t="s">
        <v>1092</v>
      </c>
      <c r="B34" s="8" t="s">
        <v>1089</v>
      </c>
    </row>
    <row r="35" ht="24.75" customHeight="1">
      <c r="A35" s="8" t="s">
        <v>1093</v>
      </c>
      <c r="B35" s="8" t="s">
        <v>1089</v>
      </c>
    </row>
    <row r="36" ht="24.75" customHeight="1">
      <c r="A36" s="8" t="s">
        <v>1094</v>
      </c>
      <c r="B36" s="8" t="s">
        <v>1089</v>
      </c>
    </row>
    <row r="37" ht="24.75" customHeight="1">
      <c r="A37" s="8" t="s">
        <v>1095</v>
      </c>
      <c r="B37" s="8" t="s">
        <v>1089</v>
      </c>
    </row>
    <row r="38" ht="15.75" customHeight="1"/>
    <row r="39" ht="15.75" customHeight="1"/>
    <row r="40" ht="37.5" customHeight="1">
      <c r="A40" s="26" t="s">
        <v>1096</v>
      </c>
      <c r="B40" s="2"/>
      <c r="C40" s="2"/>
      <c r="D40" s="2"/>
      <c r="E40" s="2"/>
      <c r="F40" s="2"/>
      <c r="G40" s="2"/>
      <c r="H40" s="2"/>
      <c r="I40" s="2"/>
      <c r="J40" s="2"/>
      <c r="K40" s="2"/>
      <c r="L40" s="3"/>
    </row>
    <row r="41" ht="69.75" customHeight="1">
      <c r="A41" s="11" t="s">
        <v>1097</v>
      </c>
      <c r="B41" s="12"/>
      <c r="C41" s="12"/>
      <c r="D41" s="12"/>
      <c r="E41" s="12"/>
      <c r="F41" s="12"/>
      <c r="G41" s="12"/>
      <c r="H41" s="12"/>
      <c r="I41" s="12"/>
      <c r="J41" s="12"/>
      <c r="K41" s="12"/>
      <c r="L41" s="13"/>
    </row>
    <row r="42" ht="15.75" customHeight="1"/>
    <row r="43" ht="37.5" customHeight="1">
      <c r="A43" s="78" t="s">
        <v>1098</v>
      </c>
    </row>
    <row r="44" ht="51.75" customHeight="1">
      <c r="A44" s="78" t="s">
        <v>1099</v>
      </c>
    </row>
    <row r="45" ht="15.75" customHeight="1"/>
    <row r="46" ht="30.0" customHeight="1">
      <c r="A46" s="87" t="s">
        <v>71</v>
      </c>
    </row>
    <row r="47" ht="90.0" customHeight="1">
      <c r="A47" s="78" t="s">
        <v>1100</v>
      </c>
    </row>
    <row r="48" ht="15.75" customHeight="1">
      <c r="A48" s="79" t="s">
        <v>458</v>
      </c>
      <c r="B48" s="79" t="s">
        <v>1101</v>
      </c>
      <c r="C48" s="79" t="s">
        <v>1102</v>
      </c>
    </row>
    <row r="49" ht="15.75" customHeight="1">
      <c r="A49" s="78" t="s">
        <v>404</v>
      </c>
      <c r="B49" s="78" t="s">
        <v>1103</v>
      </c>
      <c r="C49" s="78" t="s">
        <v>1104</v>
      </c>
    </row>
    <row r="50" ht="15.75" customHeight="1">
      <c r="A50" s="78" t="s">
        <v>995</v>
      </c>
      <c r="B50" s="78" t="s">
        <v>1105</v>
      </c>
      <c r="C50" s="78" t="s">
        <v>1106</v>
      </c>
    </row>
    <row r="51" ht="15.75" customHeight="1">
      <c r="A51" s="78" t="s">
        <v>1107</v>
      </c>
      <c r="B51" s="78" t="s">
        <v>1108</v>
      </c>
      <c r="C51" s="78" t="s">
        <v>1109</v>
      </c>
    </row>
    <row r="52" ht="15.75" customHeight="1">
      <c r="A52" s="78" t="s">
        <v>1110</v>
      </c>
      <c r="B52" s="78" t="s">
        <v>1111</v>
      </c>
      <c r="C52" s="78" t="s">
        <v>956</v>
      </c>
    </row>
    <row r="53" ht="60.0" customHeight="1">
      <c r="A53" s="78" t="s">
        <v>1112</v>
      </c>
      <c r="B53" s="78" t="s">
        <v>1113</v>
      </c>
    </row>
    <row r="54" ht="15.75" customHeight="1"/>
    <row r="55" ht="30.0" customHeight="1">
      <c r="A55" s="87" t="s">
        <v>135</v>
      </c>
    </row>
    <row r="56" ht="90.0" customHeight="1">
      <c r="A56" s="78" t="s">
        <v>1114</v>
      </c>
    </row>
    <row r="57" ht="15.75" customHeight="1">
      <c r="A57" s="79" t="s">
        <v>458</v>
      </c>
      <c r="B57" s="79" t="s">
        <v>1101</v>
      </c>
      <c r="C57" s="79" t="s">
        <v>1102</v>
      </c>
    </row>
    <row r="58" ht="15.75" customHeight="1">
      <c r="A58" s="78" t="s">
        <v>404</v>
      </c>
      <c r="B58" s="78" t="s">
        <v>1115</v>
      </c>
      <c r="C58" s="78" t="s">
        <v>1116</v>
      </c>
    </row>
    <row r="59" ht="15.75" customHeight="1">
      <c r="A59" s="78" t="s">
        <v>995</v>
      </c>
      <c r="B59" s="78" t="s">
        <v>1117</v>
      </c>
      <c r="C59" s="78" t="s">
        <v>1118</v>
      </c>
    </row>
    <row r="60" ht="15.75" customHeight="1">
      <c r="A60" s="78" t="s">
        <v>1107</v>
      </c>
      <c r="B60" s="78" t="s">
        <v>1119</v>
      </c>
      <c r="C60" s="78" t="s">
        <v>1120</v>
      </c>
    </row>
    <row r="61" ht="15.75" customHeight="1">
      <c r="A61" s="78" t="s">
        <v>1110</v>
      </c>
      <c r="B61" s="78" t="s">
        <v>1121</v>
      </c>
      <c r="C61" s="78" t="s">
        <v>1122</v>
      </c>
    </row>
    <row r="62" ht="60.0" customHeight="1">
      <c r="A62" s="78" t="s">
        <v>1112</v>
      </c>
      <c r="B62" s="78" t="s">
        <v>1123</v>
      </c>
    </row>
    <row r="63" ht="15.75" customHeight="1"/>
    <row r="64" ht="30.0" customHeight="1">
      <c r="A64" s="87" t="s">
        <v>1124</v>
      </c>
    </row>
    <row r="65" ht="79.5" customHeight="1">
      <c r="A65" s="78" t="s">
        <v>1125</v>
      </c>
    </row>
    <row r="66" ht="15.75" customHeight="1">
      <c r="A66" s="79" t="s">
        <v>458</v>
      </c>
      <c r="B66" s="79" t="s">
        <v>1101</v>
      </c>
      <c r="C66" s="79" t="s">
        <v>1102</v>
      </c>
    </row>
    <row r="67" ht="15.75" customHeight="1">
      <c r="A67" s="78" t="s">
        <v>834</v>
      </c>
      <c r="B67" s="78" t="s">
        <v>835</v>
      </c>
      <c r="C67" s="78" t="s">
        <v>1016</v>
      </c>
    </row>
    <row r="68" ht="15.75" customHeight="1">
      <c r="A68" s="78" t="s">
        <v>1018</v>
      </c>
      <c r="B68" s="78" t="s">
        <v>852</v>
      </c>
      <c r="C68" s="78" t="s">
        <v>1040</v>
      </c>
    </row>
    <row r="69" ht="15.75" customHeight="1">
      <c r="A69" s="78" t="s">
        <v>860</v>
      </c>
      <c r="B69" s="78" t="s">
        <v>862</v>
      </c>
      <c r="C69" s="78" t="s">
        <v>1126</v>
      </c>
    </row>
    <row r="70" ht="15.75" customHeight="1">
      <c r="A70" s="78" t="s">
        <v>1127</v>
      </c>
      <c r="B70" s="78" t="s">
        <v>1128</v>
      </c>
      <c r="C70" s="78" t="s">
        <v>1129</v>
      </c>
    </row>
    <row r="71" ht="69.75" customHeight="1">
      <c r="A71" s="78" t="s">
        <v>1112</v>
      </c>
      <c r="B71" s="78" t="s">
        <v>1130</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ustomSheetViews>
    <customSheetView guid="{6C8C0329-08C0-4956-A938-7EB8BBD93C39}" filter="1" showAutoFilter="1">
      <autoFilter ref="$A$15:$B$18"/>
    </customSheetView>
    <customSheetView guid="{35035A59-8007-4187-A07A-F292388F2846}" filter="1" showAutoFilter="1">
      <autoFilter ref="$A$30:$B$37"/>
    </customSheetView>
    <customSheetView guid="{642F4598-7499-4836-91F9-5A768928B2D2}" filter="1" showAutoFilter="1">
      <autoFilter ref="$A$5:$C$12"/>
    </customSheetView>
    <customSheetView guid="{79EA0593-1802-4D61-8583-9AFDF5B983E8}" filter="1" showAutoFilter="1">
      <autoFilter ref="$A$22:$B$26"/>
    </customSheetView>
  </customSheetViews>
  <mergeCells count="19">
    <mergeCell ref="A1:L1"/>
    <mergeCell ref="A2:L2"/>
    <mergeCell ref="A4:L4"/>
    <mergeCell ref="A14:L14"/>
    <mergeCell ref="A21:L21"/>
    <mergeCell ref="A29:L29"/>
    <mergeCell ref="A40:L40"/>
    <mergeCell ref="A56:L56"/>
    <mergeCell ref="B62:L62"/>
    <mergeCell ref="A64:L64"/>
    <mergeCell ref="A65:L65"/>
    <mergeCell ref="B71:L71"/>
    <mergeCell ref="A41:L41"/>
    <mergeCell ref="A43:L43"/>
    <mergeCell ref="A44:L44"/>
    <mergeCell ref="A46:L46"/>
    <mergeCell ref="A47:L47"/>
    <mergeCell ref="B53:L53"/>
    <mergeCell ref="A55:L55"/>
  </mergeCells>
  <printOptions/>
  <pageMargins bottom="0.4" footer="0.0" header="0.0" left="0.25" right="0.25" top="0.4"/>
  <pageSetup fitToHeight="0" orientation="landscape"/>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96.0"/>
    <col customWidth="1" min="3" max="3" width="68.0"/>
    <col customWidth="1" min="4" max="4" width="25.0"/>
    <col customWidth="1" min="5" max="5" width="28.0"/>
    <col customWidth="1" min="6" max="7" width="30.0"/>
    <col customWidth="1" min="8" max="12" width="24.0"/>
    <col customWidth="1" min="13" max="26" width="8.71"/>
  </cols>
  <sheetData>
    <row r="1" ht="33.75" customHeight="1">
      <c r="A1" s="1" t="s">
        <v>1131</v>
      </c>
      <c r="B1" s="2"/>
      <c r="C1" s="2"/>
      <c r="D1" s="2"/>
      <c r="E1" s="2"/>
      <c r="F1" s="2"/>
      <c r="G1" s="2"/>
      <c r="H1" s="2"/>
      <c r="I1" s="2"/>
      <c r="J1" s="2"/>
      <c r="K1" s="2"/>
      <c r="L1" s="3"/>
    </row>
    <row r="2" ht="51.75" customHeight="1">
      <c r="A2" s="4" t="s">
        <v>1132</v>
      </c>
    </row>
    <row r="4" ht="24.0" customHeight="1">
      <c r="A4" s="18" t="s">
        <v>1133</v>
      </c>
      <c r="B4" s="2"/>
      <c r="C4" s="2"/>
      <c r="D4" s="2"/>
      <c r="E4" s="2"/>
      <c r="F4" s="2"/>
      <c r="G4" s="2"/>
      <c r="H4" s="2"/>
      <c r="I4" s="2"/>
      <c r="J4" s="2"/>
      <c r="K4" s="2"/>
      <c r="L4" s="3"/>
    </row>
    <row r="5" ht="27.75" customHeight="1">
      <c r="A5" s="7" t="s">
        <v>937</v>
      </c>
      <c r="B5" s="7" t="s">
        <v>1134</v>
      </c>
      <c r="C5" s="7" t="s">
        <v>1135</v>
      </c>
      <c r="D5" s="7" t="s">
        <v>1136</v>
      </c>
    </row>
    <row r="6" ht="24.75" customHeight="1">
      <c r="A6" s="8" t="s">
        <v>1137</v>
      </c>
      <c r="B6" s="8" t="s">
        <v>1138</v>
      </c>
      <c r="C6" s="8" t="s">
        <v>1139</v>
      </c>
      <c r="D6" s="8" t="s">
        <v>1140</v>
      </c>
    </row>
    <row r="7" ht="24.75" customHeight="1">
      <c r="A7" s="8" t="s">
        <v>1141</v>
      </c>
      <c r="B7" s="8" t="s">
        <v>1142</v>
      </c>
      <c r="C7" s="8" t="s">
        <v>1139</v>
      </c>
      <c r="D7" s="8" t="s">
        <v>1143</v>
      </c>
    </row>
    <row r="8" ht="24.75" customHeight="1">
      <c r="A8" s="8" t="s">
        <v>467</v>
      </c>
      <c r="B8" s="8" t="s">
        <v>1144</v>
      </c>
      <c r="C8" s="8" t="s">
        <v>1139</v>
      </c>
      <c r="D8" s="8" t="s">
        <v>1145</v>
      </c>
    </row>
    <row r="9" ht="24.75" customHeight="1">
      <c r="A9" s="8" t="s">
        <v>223</v>
      </c>
      <c r="B9" s="8" t="s">
        <v>1146</v>
      </c>
      <c r="C9" s="8" t="s">
        <v>1147</v>
      </c>
      <c r="D9" s="8" t="s">
        <v>1148</v>
      </c>
    </row>
    <row r="10" ht="24.75" customHeight="1">
      <c r="A10" s="8" t="s">
        <v>1149</v>
      </c>
      <c r="B10" s="8" t="s">
        <v>1150</v>
      </c>
      <c r="C10" s="8" t="s">
        <v>1151</v>
      </c>
      <c r="D10" s="8" t="s">
        <v>1152</v>
      </c>
    </row>
    <row r="11" ht="24.75" customHeight="1">
      <c r="A11" s="8" t="s">
        <v>1153</v>
      </c>
      <c r="B11" s="8" t="s">
        <v>1154</v>
      </c>
      <c r="C11" s="8" t="s">
        <v>1151</v>
      </c>
      <c r="D11" s="8" t="s">
        <v>1155</v>
      </c>
    </row>
    <row r="12" ht="24.75" customHeight="1">
      <c r="A12" s="8" t="s">
        <v>1156</v>
      </c>
      <c r="B12" s="8" t="s">
        <v>1157</v>
      </c>
      <c r="C12" s="8" t="s">
        <v>1158</v>
      </c>
      <c r="D12" s="8" t="s">
        <v>1159</v>
      </c>
    </row>
    <row r="13" ht="24.75" customHeight="1">
      <c r="A13" s="8" t="s">
        <v>1160</v>
      </c>
      <c r="B13" s="8" t="s">
        <v>1161</v>
      </c>
      <c r="C13" s="8" t="s">
        <v>1162</v>
      </c>
      <c r="D13" s="8" t="s">
        <v>1163</v>
      </c>
    </row>
    <row r="15" ht="24.0" customHeight="1">
      <c r="A15" s="18" t="s">
        <v>1164</v>
      </c>
      <c r="B15" s="2"/>
      <c r="C15" s="2"/>
      <c r="D15" s="2"/>
      <c r="E15" s="2"/>
      <c r="F15" s="2"/>
      <c r="G15" s="2"/>
      <c r="H15" s="2"/>
      <c r="I15" s="2"/>
      <c r="J15" s="2"/>
      <c r="K15" s="2"/>
      <c r="L15" s="3"/>
    </row>
    <row r="16" ht="27.75" customHeight="1">
      <c r="A16" s="7" t="s">
        <v>1165</v>
      </c>
      <c r="B16" s="7" t="s">
        <v>1166</v>
      </c>
      <c r="C16" s="7" t="s">
        <v>803</v>
      </c>
      <c r="D16" s="7" t="s">
        <v>875</v>
      </c>
    </row>
    <row r="17" ht="24.75" customHeight="1">
      <c r="A17" s="8" t="s">
        <v>1167</v>
      </c>
      <c r="B17" s="8" t="s">
        <v>1168</v>
      </c>
      <c r="C17" s="8" t="s">
        <v>1169</v>
      </c>
      <c r="D17" s="8" t="s">
        <v>1170</v>
      </c>
    </row>
    <row r="18" ht="37.5" customHeight="1">
      <c r="A18" s="8" t="s">
        <v>1171</v>
      </c>
      <c r="B18" s="8" t="s">
        <v>1172</v>
      </c>
      <c r="C18" s="8" t="s">
        <v>1173</v>
      </c>
      <c r="D18" s="8" t="s">
        <v>1174</v>
      </c>
    </row>
    <row r="19" ht="24.75" customHeight="1">
      <c r="A19" s="8" t="s">
        <v>295</v>
      </c>
      <c r="B19" s="8" t="s">
        <v>1175</v>
      </c>
      <c r="C19" s="8" t="s">
        <v>1176</v>
      </c>
      <c r="D19" s="8" t="s">
        <v>1177</v>
      </c>
    </row>
    <row r="20" ht="24.75" customHeight="1">
      <c r="A20" s="8" t="s">
        <v>438</v>
      </c>
      <c r="B20" s="8" t="s">
        <v>1178</v>
      </c>
      <c r="C20" s="8" t="s">
        <v>1179</v>
      </c>
      <c r="D20" s="8" t="s">
        <v>1180</v>
      </c>
    </row>
    <row r="21" ht="24.75" customHeight="1">
      <c r="A21" s="8" t="s">
        <v>1181</v>
      </c>
      <c r="B21" s="8" t="s">
        <v>1182</v>
      </c>
      <c r="C21" s="8" t="s">
        <v>1183</v>
      </c>
      <c r="D21" s="8" t="s">
        <v>1151</v>
      </c>
    </row>
    <row r="22" ht="15.75" customHeight="1"/>
    <row r="23" ht="15.75" customHeight="1"/>
    <row r="24" ht="24.0" customHeight="1">
      <c r="A24" s="18" t="s">
        <v>1184</v>
      </c>
      <c r="B24" s="2"/>
      <c r="C24" s="2"/>
      <c r="D24" s="2"/>
      <c r="E24" s="2"/>
      <c r="F24" s="2"/>
      <c r="G24" s="2"/>
      <c r="H24" s="2"/>
      <c r="I24" s="2"/>
      <c r="J24" s="2"/>
      <c r="K24" s="2"/>
      <c r="L24" s="3"/>
    </row>
    <row r="25" ht="27.75" customHeight="1">
      <c r="A25" s="7" t="s">
        <v>1185</v>
      </c>
      <c r="B25" s="7" t="s">
        <v>1186</v>
      </c>
    </row>
    <row r="26" ht="51.75" customHeight="1">
      <c r="A26" s="8" t="s">
        <v>1187</v>
      </c>
      <c r="B26" s="8" t="s">
        <v>1188</v>
      </c>
    </row>
    <row r="27" ht="51.75" customHeight="1">
      <c r="A27" s="8" t="s">
        <v>1189</v>
      </c>
      <c r="B27" s="8" t="s">
        <v>1190</v>
      </c>
    </row>
    <row r="28" ht="37.5" customHeight="1">
      <c r="A28" s="8" t="s">
        <v>1191</v>
      </c>
      <c r="B28" s="8" t="s">
        <v>1192</v>
      </c>
    </row>
    <row r="29" ht="37.5" customHeight="1">
      <c r="A29" s="8" t="s">
        <v>1193</v>
      </c>
      <c r="B29" s="8" t="s">
        <v>1194</v>
      </c>
    </row>
    <row r="30" ht="37.5" customHeight="1">
      <c r="A30" s="8" t="s">
        <v>1195</v>
      </c>
      <c r="B30" s="8" t="s">
        <v>1196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ustomSheetViews>
    <customSheetView guid="{F516F472-01A9-44F7-A6A5-BFED63BCF154}" filter="1" showAutoFilter="1">
      <autoFilter ref="$A$16:$D$21"/>
    </customSheetView>
    <customSheetView guid="{F9A2FBFA-48AD-4D86-BBFC-0092B78E3D75}" filter="1" showAutoFilter="1">
      <autoFilter ref="$A$25:$B$30"/>
    </customSheetView>
    <customSheetView guid="{CB00096A-73C9-4C5E-8D4C-362CFF4FF4F2}" filter="1" showAutoFilter="1">
      <autoFilter ref="$A$5:$D$13"/>
    </customSheetView>
  </customSheetViews>
  <mergeCells count="5">
    <mergeCell ref="A1:L1"/>
    <mergeCell ref="A2:L2"/>
    <mergeCell ref="A4:L4"/>
    <mergeCell ref="A15:L15"/>
    <mergeCell ref="A24:L24"/>
  </mergeCells>
  <printOptions/>
  <pageMargins bottom="0.4" footer="0.0" header="0.0" left="0.25" right="0.25" top="0.4"/>
  <pageSetup fitToHeight="0" orientation="landscape"/>
  <drawing r:id="rId1"/>
  <tableParts count="3">
    <tablePart r:id="rId5"/>
    <tablePart r:id="rId6"/>
    <tablePart r:id="rId7"/>
  </tableParts>
</worksheet>
</file>